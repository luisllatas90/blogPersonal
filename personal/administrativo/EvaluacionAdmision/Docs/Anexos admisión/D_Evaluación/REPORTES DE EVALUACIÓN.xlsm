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D:\A_ADMISIÓN 2018\_D_PREGRADO\_ADMISION 2020-II\PROCESOS PREGRADO -ADMISION\SISTEMA ADMISIÓN USAT\"/>
    </mc:Choice>
  </mc:AlternateContent>
  <xr:revisionPtr revIDLastSave="0" documentId="13_ncr:1_{96D3B977-AA2D-41E2-B991-D170EE02BBEB}" xr6:coauthVersionLast="45" xr6:coauthVersionMax="45" xr10:uidLastSave="{00000000-0000-0000-0000-000000000000}"/>
  <bookViews>
    <workbookView xWindow="-120" yWindow="-120" windowWidth="24240" windowHeight="13140" tabRatio="718" activeTab="1" xr2:uid="{00000000-000D-0000-FFFF-FFFF00000000}"/>
  </bookViews>
  <sheets>
    <sheet name="MenuRESULTADOS" sheetId="54" r:id="rId1"/>
    <sheet name="RESULTADOS" sheetId="11" r:id="rId2"/>
    <sheet name="MenuRepEvaluación" sheetId="55" r:id="rId3"/>
    <sheet name="RepEvaluación" sheetId="53" r:id="rId4"/>
    <sheet name="ManuConteoEval" sheetId="56" r:id="rId5"/>
    <sheet name="Conteo-Evaluación" sheetId="52" r:id="rId6"/>
    <sheet name="CONSOLIDADOEVA" sheetId="51" r:id="rId7"/>
    <sheet name="ENTREVISTA" sheetId="49" r:id="rId8"/>
    <sheet name="CONOCIMIENTO" sheetId="1" r:id="rId9"/>
  </sheets>
  <definedNames>
    <definedName name="_xlnm._FilterDatabase" localSheetId="8" hidden="1">CONOCIMIENTO!$A$8:$CE$27</definedName>
    <definedName name="_xlnm._FilterDatabase" localSheetId="6" hidden="1">CONSOLIDADOEVA!$A$8:$AC$27</definedName>
    <definedName name="_xlnm._FilterDatabase" localSheetId="5" hidden="1">'Conteo-Evaluación'!$A$3:$S$14</definedName>
    <definedName name="_xlnm._FilterDatabase" localSheetId="7" hidden="1">ENTREVISTA!$A$8:$AE$27</definedName>
    <definedName name="_xlnm._FilterDatabase" localSheetId="3" hidden="1">RepEvaluación!$A$5:$L$16</definedName>
    <definedName name="_xlnm._FilterDatabase" localSheetId="1" hidden="1">RESULTADOS!$A$7:$V$110</definedName>
    <definedName name="_xlnm.Print_Area" localSheetId="5">'Conteo-Evaluación'!$A$1:$S$17</definedName>
    <definedName name="_xlnm.Print_Area" localSheetId="3">RepEvaluación!$A$3:$L$19</definedName>
    <definedName name="_xlnm.Print_Area" localSheetId="1">RESULTADOS!$A$1:$V$116</definedName>
    <definedName name="LOCAL_MYSQL_DATE_FORMAT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7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_xlnm.Print_Titles" localSheetId="1">RESULTADOS!$7:$7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0" i="51" l="1"/>
  <c r="Q11" i="51"/>
  <c r="Q12" i="51"/>
  <c r="Q13" i="51"/>
  <c r="Q14" i="51"/>
  <c r="Q15" i="51"/>
  <c r="Q16" i="51"/>
  <c r="Q17" i="51"/>
  <c r="Q18" i="51"/>
  <c r="Q19" i="51"/>
  <c r="Q20" i="51"/>
  <c r="Q21" i="51"/>
  <c r="Q22" i="51"/>
  <c r="Q23" i="51"/>
  <c r="Q24" i="51"/>
  <c r="Q25" i="51"/>
  <c r="Q26" i="51"/>
  <c r="Q27" i="51"/>
  <c r="Q9" i="51"/>
  <c r="CE10" i="1"/>
  <c r="CE11" i="1"/>
  <c r="CE12" i="1"/>
  <c r="CA12" i="1" s="1"/>
  <c r="CE13" i="1"/>
  <c r="CA13" i="1" s="1"/>
  <c r="CE14" i="1"/>
  <c r="CE15" i="1"/>
  <c r="CE16" i="1"/>
  <c r="CE17" i="1"/>
  <c r="CA17" i="1" s="1"/>
  <c r="CE18" i="1"/>
  <c r="CE19" i="1"/>
  <c r="CE20" i="1"/>
  <c r="CE21" i="1"/>
  <c r="CE22" i="1"/>
  <c r="CE23" i="1"/>
  <c r="CE24" i="1"/>
  <c r="CE25" i="1"/>
  <c r="CA25" i="1" s="1"/>
  <c r="CE26" i="1"/>
  <c r="CE27" i="1"/>
  <c r="CA27" i="1" s="1"/>
  <c r="CE9" i="1"/>
  <c r="CD9" i="1"/>
  <c r="CD13" i="1"/>
  <c r="CD14" i="1"/>
  <c r="CD15" i="1"/>
  <c r="CD16" i="1"/>
  <c r="CA16" i="1" s="1"/>
  <c r="CD17" i="1"/>
  <c r="CD18" i="1"/>
  <c r="CD19" i="1"/>
  <c r="CD20" i="1"/>
  <c r="CA20" i="1" s="1"/>
  <c r="CD21" i="1"/>
  <c r="CD22" i="1"/>
  <c r="CD23" i="1"/>
  <c r="CD24" i="1"/>
  <c r="CA24" i="1" s="1"/>
  <c r="CD25" i="1"/>
  <c r="CD26" i="1"/>
  <c r="CD27" i="1"/>
  <c r="CD10" i="1"/>
  <c r="CD11" i="1"/>
  <c r="CD12" i="1"/>
  <c r="CA10" i="1"/>
  <c r="CA11" i="1"/>
  <c r="CA14" i="1"/>
  <c r="CA15" i="1"/>
  <c r="CA18" i="1"/>
  <c r="CA19" i="1"/>
  <c r="CA21" i="1"/>
  <c r="CA22" i="1"/>
  <c r="CA23" i="1"/>
  <c r="CA26" i="1"/>
  <c r="BZ10" i="1"/>
  <c r="BZ11" i="1"/>
  <c r="BZ12" i="1"/>
  <c r="BZ13" i="1"/>
  <c r="BZ14" i="1"/>
  <c r="BZ15" i="1"/>
  <c r="BZ16" i="1"/>
  <c r="BZ17" i="1"/>
  <c r="BZ18" i="1"/>
  <c r="BZ19" i="1"/>
  <c r="BZ20" i="1"/>
  <c r="BZ21" i="1"/>
  <c r="BZ22" i="1"/>
  <c r="BZ23" i="1"/>
  <c r="BZ24" i="1"/>
  <c r="BZ25" i="1"/>
  <c r="BZ26" i="1"/>
  <c r="BZ27" i="1"/>
  <c r="BZ9" i="1"/>
  <c r="CA9" i="1" l="1"/>
  <c r="BN10" i="1" l="1"/>
  <c r="BN11" i="1"/>
  <c r="BN12" i="1"/>
  <c r="BN13" i="1"/>
  <c r="BN14" i="1"/>
  <c r="BN15" i="1"/>
  <c r="BN16" i="1"/>
  <c r="BN17" i="1"/>
  <c r="BP17" i="1" s="1"/>
  <c r="BN18" i="1"/>
  <c r="BN19" i="1"/>
  <c r="BN20" i="1"/>
  <c r="BN21" i="1"/>
  <c r="BP21" i="1" s="1"/>
  <c r="BQ21" i="1" s="1"/>
  <c r="BR21" i="1" s="1"/>
  <c r="BN22" i="1"/>
  <c r="BN23" i="1"/>
  <c r="BN24" i="1"/>
  <c r="BN25" i="1"/>
  <c r="BP25" i="1" s="1"/>
  <c r="BQ25" i="1" s="1"/>
  <c r="BR25" i="1" s="1"/>
  <c r="BN26" i="1"/>
  <c r="BN27" i="1"/>
  <c r="BN9" i="1"/>
  <c r="BP13" i="1"/>
  <c r="BQ13" i="1" s="1"/>
  <c r="BR13" i="1" s="1"/>
  <c r="BN6" i="1"/>
  <c r="BP14" i="1" s="1"/>
  <c r="AJ6" i="1"/>
  <c r="AJ10" i="1"/>
  <c r="AJ11" i="1"/>
  <c r="AJ12" i="1"/>
  <c r="AJ13" i="1"/>
  <c r="AL13" i="1" s="1"/>
  <c r="AJ14" i="1"/>
  <c r="AJ15" i="1"/>
  <c r="AJ16" i="1"/>
  <c r="AJ17" i="1"/>
  <c r="AL17" i="1" s="1"/>
  <c r="AJ18" i="1"/>
  <c r="AJ19" i="1"/>
  <c r="AL19" i="1" s="1"/>
  <c r="AJ20" i="1"/>
  <c r="AJ21" i="1"/>
  <c r="AL21" i="1" s="1"/>
  <c r="AJ22" i="1"/>
  <c r="AJ23" i="1"/>
  <c r="AL23" i="1" s="1"/>
  <c r="AJ24" i="1"/>
  <c r="AJ25" i="1"/>
  <c r="AL25" i="1" s="1"/>
  <c r="AJ26" i="1"/>
  <c r="AJ27" i="1"/>
  <c r="AL27" i="1" s="1"/>
  <c r="AJ9" i="1"/>
  <c r="AL14" i="1" l="1"/>
  <c r="BQ14" i="1" s="1"/>
  <c r="BR14" i="1" s="1"/>
  <c r="BQ17" i="1"/>
  <c r="BR17" i="1" s="1"/>
  <c r="AL9" i="1"/>
  <c r="AL20" i="1"/>
  <c r="AL12" i="1"/>
  <c r="BP16" i="1"/>
  <c r="AL16" i="1"/>
  <c r="BP23" i="1"/>
  <c r="BQ23" i="1" s="1"/>
  <c r="BR23" i="1" s="1"/>
  <c r="AL24" i="1"/>
  <c r="BP18" i="1"/>
  <c r="AL22" i="1"/>
  <c r="BP27" i="1"/>
  <c r="BQ27" i="1" s="1"/>
  <c r="BR27" i="1" s="1"/>
  <c r="BP24" i="1"/>
  <c r="BP12" i="1"/>
  <c r="BP9" i="1"/>
  <c r="BP26" i="1"/>
  <c r="BP15" i="1"/>
  <c r="BP10" i="1"/>
  <c r="AL15" i="1"/>
  <c r="AL26" i="1"/>
  <c r="AL18" i="1"/>
  <c r="BP22" i="1"/>
  <c r="BP11" i="1"/>
  <c r="BP20" i="1"/>
  <c r="BP19" i="1"/>
  <c r="BQ19" i="1" s="1"/>
  <c r="BR19" i="1" s="1"/>
  <c r="AL11" i="1"/>
  <c r="AL10" i="1"/>
  <c r="BQ10" i="1" s="1"/>
  <c r="BR10" i="1" s="1"/>
  <c r="V16" i="52"/>
  <c r="BQ15" i="1" l="1"/>
  <c r="BR15" i="1" s="1"/>
  <c r="BQ9" i="1"/>
  <c r="BR9" i="1" s="1"/>
  <c r="BQ11" i="1"/>
  <c r="BR11" i="1" s="1"/>
  <c r="BQ18" i="1"/>
  <c r="BR18" i="1" s="1"/>
  <c r="BQ24" i="1"/>
  <c r="BR24" i="1" s="1"/>
  <c r="BQ12" i="1"/>
  <c r="BR12" i="1" s="1"/>
  <c r="BQ22" i="1"/>
  <c r="BR22" i="1" s="1"/>
  <c r="BQ16" i="1"/>
  <c r="BR16" i="1" s="1"/>
  <c r="BQ26" i="1"/>
  <c r="BR26" i="1" s="1"/>
  <c r="BQ20" i="1"/>
  <c r="BR20" i="1" s="1"/>
  <c r="T16" i="5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APAREDES</author>
  </authors>
  <commentList>
    <comment ref="T8" authorId="0" shapeId="0" xr:uid="{01052301-C1E7-4A19-8643-1F4A07AF7807}">
      <text>
        <r>
          <rPr>
            <b/>
            <sz val="9"/>
            <color indexed="81"/>
            <rFont val="Tahoma"/>
            <family val="2"/>
          </rPr>
          <t>APAREDES:</t>
        </r>
        <r>
          <rPr>
            <sz val="9"/>
            <color indexed="81"/>
            <rFont val="Tahoma"/>
            <family val="2"/>
          </rPr>
          <t xml:space="preserve">
1=ACTIVO
2=NO ALCANZO VACANTE
3=INGRESANTE ACCESITARIO
4=RENUNCIÓ VACANTE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APAREDES</author>
  </authors>
  <commentList>
    <comment ref="T8" authorId="0" shapeId="0" xr:uid="{A82E4018-6C3A-4A06-B121-DC7D53DD6E8B}">
      <text>
        <r>
          <rPr>
            <b/>
            <sz val="9"/>
            <color indexed="81"/>
            <rFont val="Tahoma"/>
            <family val="2"/>
          </rPr>
          <t>APAREDES:</t>
        </r>
        <r>
          <rPr>
            <sz val="9"/>
            <color indexed="81"/>
            <rFont val="Tahoma"/>
            <family val="2"/>
          </rPr>
          <t xml:space="preserve">
1=ACTIVO
2=NO ALCANZO VACANTE
3=INGRESANTE ACCESITARIO
4=RENUNCIÓ VACANTE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Paredes Fajardo</author>
    <author>APAREDES</author>
  </authors>
  <commentList>
    <comment ref="BQ8" authorId="0" shapeId="0" xr:uid="{EB05672F-ACBE-47E9-9D66-31843156F214}">
      <text>
        <r>
          <rPr>
            <b/>
            <sz val="9"/>
            <color indexed="81"/>
            <rFont val="Tahoma"/>
            <family val="2"/>
          </rPr>
          <t>Alan Paredes Fajardo:</t>
        </r>
        <r>
          <rPr>
            <sz val="9"/>
            <color indexed="81"/>
            <rFont val="Tahoma"/>
            <family val="2"/>
          </rPr>
          <t xml:space="preserve">
INGENIERIA: (COM+2MAT)/3
HUMANIDADES: (2COM+MAT)/3</t>
        </r>
      </text>
    </comment>
    <comment ref="BT8" authorId="1" shapeId="0" xr:uid="{00000000-0006-0000-0500-000001000000}">
      <text>
        <r>
          <rPr>
            <b/>
            <sz val="9"/>
            <color indexed="81"/>
            <rFont val="Tahoma"/>
            <family val="2"/>
          </rPr>
          <t>APAREDES:</t>
        </r>
        <r>
          <rPr>
            <sz val="9"/>
            <color indexed="81"/>
            <rFont val="Tahoma"/>
            <family val="2"/>
          </rPr>
          <t xml:space="preserve">
1=ACTIVO
2=NO ALCANZO VACANTE
3=INGRESANTE ACCESITARIO
4=RENUNCIÓ VACANTE</t>
        </r>
      </text>
    </comment>
  </commentList>
</comments>
</file>

<file path=xl/sharedStrings.xml><?xml version="1.0" encoding="utf-8"?>
<sst xmlns="http://schemas.openxmlformats.org/spreadsheetml/2006/main" count="1882" uniqueCount="522">
  <si>
    <t>C</t>
  </si>
  <si>
    <t>COMUNICACIÓN</t>
  </si>
  <si>
    <t>Nro</t>
  </si>
  <si>
    <t>Nro. Doc.</t>
  </si>
  <si>
    <t>Cód. Univ.</t>
  </si>
  <si>
    <t>Participante</t>
  </si>
  <si>
    <t>CARRERA</t>
  </si>
  <si>
    <t>PTOS</t>
  </si>
  <si>
    <t>NCOM</t>
  </si>
  <si>
    <t>NMAT</t>
  </si>
  <si>
    <t>ESTADO</t>
  </si>
  <si>
    <t>ARQUITECTURA</t>
  </si>
  <si>
    <t>H</t>
  </si>
  <si>
    <t>ENFERMERÍA</t>
  </si>
  <si>
    <t>INGENIERÍA DE SISTEMAS Y COMPUTACIÓN</t>
  </si>
  <si>
    <t>DERECHO</t>
  </si>
  <si>
    <t>EDUCACIÓN INICIAL</t>
  </si>
  <si>
    <t>INGENIERÍA MECÁNICA ELÉCTRICA</t>
  </si>
  <si>
    <t>INGENIERÍA CIVIL AMBIENTAL</t>
  </si>
  <si>
    <t>INGENIERÍA INDUSTRIAL</t>
  </si>
  <si>
    <t>CONTABILIDAD</t>
  </si>
  <si>
    <t>CodExa</t>
  </si>
  <si>
    <t>CodG</t>
  </si>
  <si>
    <t>INGRESANTE</t>
  </si>
  <si>
    <t>NO INGRESANTE</t>
  </si>
  <si>
    <t>AULA</t>
  </si>
  <si>
    <t>SI</t>
  </si>
  <si>
    <t>NO</t>
  </si>
  <si>
    <t>N°</t>
  </si>
  <si>
    <t>TEST DHAC</t>
  </si>
  <si>
    <t>P</t>
  </si>
  <si>
    <t>ADMINISTRACIÓN DE EMPRESAS</t>
  </si>
  <si>
    <t>INGRESANTES</t>
  </si>
  <si>
    <t>PTJE</t>
  </si>
  <si>
    <t>LISTA DE EVALUADOS</t>
  </si>
  <si>
    <t>EST NIVELACION</t>
  </si>
  <si>
    <t>NIVELACIÓN</t>
  </si>
  <si>
    <t>%M1</t>
  </si>
  <si>
    <t>MATERIA NIVELACIÓN</t>
  </si>
  <si>
    <t>C11</t>
  </si>
  <si>
    <t>C12</t>
  </si>
  <si>
    <t>%C11</t>
  </si>
  <si>
    <t>%C12</t>
  </si>
  <si>
    <t>MAT</t>
  </si>
  <si>
    <t>COM</t>
  </si>
  <si>
    <t>PTC</t>
  </si>
  <si>
    <t>MIN</t>
  </si>
  <si>
    <t>MAX</t>
  </si>
  <si>
    <t>NOTA R</t>
  </si>
  <si>
    <t>EST ING</t>
  </si>
  <si>
    <t>EST ING M</t>
  </si>
  <si>
    <t>SIST. EVA 1.2</t>
  </si>
  <si>
    <t>ACCESITARIO</t>
  </si>
  <si>
    <t/>
  </si>
  <si>
    <t>Mod</t>
  </si>
  <si>
    <t>NO INGRESANTE / NO ALCANZÓ VACANTE</t>
  </si>
  <si>
    <t>ESTACC</t>
  </si>
  <si>
    <t>COMPRENSION</t>
  </si>
  <si>
    <t>REDACCION</t>
  </si>
  <si>
    <t>REGISTRAR EL CONTEO PTOS DE PREGUNTAS---&gt;</t>
  </si>
  <si>
    <t>ARROYO SAMPEN, CAROLINA DEL ROCIO</t>
  </si>
  <si>
    <t>LIZANA SANTISTEBAN, SILVANA DEL PILAR</t>
  </si>
  <si>
    <t>PAUCAR TERRONES, JENNIFER EVA</t>
  </si>
  <si>
    <t>N° ACCESITARIO</t>
  </si>
  <si>
    <t>ADELITH1718@GMAIL.COM</t>
  </si>
  <si>
    <t>CAMILABV22@ICLOUD.COM</t>
  </si>
  <si>
    <t>BEEEACALDERON@GMAIL.COM</t>
  </si>
  <si>
    <t>BORGONARY03@GMAIL.COM</t>
  </si>
  <si>
    <t>FERNANDO-E1@HOTMAIL.COM</t>
  </si>
  <si>
    <t>ALEJANDRO_GOJAN15@HOTMAIL.COM</t>
  </si>
  <si>
    <t>KIMYLUNAJULON@GMAIL.COM</t>
  </si>
  <si>
    <t>MARCIA42LORENA@GMAIL.COM</t>
  </si>
  <si>
    <t>GIORDANA_130703@OUTLOOK.COM</t>
  </si>
  <si>
    <t>DIANILISBETH.8@GMAIL.COM</t>
  </si>
  <si>
    <t>SOPLAPUCOTAVARAIVANNA09@GMAIL.COM</t>
  </si>
  <si>
    <t>AULA 509 (ED. JP.II) (2018)</t>
  </si>
  <si>
    <t>AULA 507 (ED. JP.II)</t>
  </si>
  <si>
    <t>AULA 504 (ED. JP.II) (2018)</t>
  </si>
  <si>
    <t>ALVAREZ CHERO, DANITZA JAZMIN</t>
  </si>
  <si>
    <t>BANCES ASCORBE, DENIS ALBERTO</t>
  </si>
  <si>
    <t>BARBOZA SANCHEZ, ALISSON</t>
  </si>
  <si>
    <t>BAZAN CRUZ, NORELYS ADELITH</t>
  </si>
  <si>
    <t>BERNAL VASQUEZ, CAMILA ABIGAIL</t>
  </si>
  <si>
    <t>CALDERON JIMENEZ, ANDREA DE JESUS</t>
  </si>
  <si>
    <t>CASTRO URIARTE, GUILLERMO</t>
  </si>
  <si>
    <t>CHILCON SANDOVAL, MANUEL ENRIQUE</t>
  </si>
  <si>
    <t>COBEÑAS PAZ, MARCELO RODRIGO</t>
  </si>
  <si>
    <t>COLUNCHE CHIROQUE, VIVIANA JARUMY</t>
  </si>
  <si>
    <t>ESTRELLA BRAVO, FERNANDO</t>
  </si>
  <si>
    <t>GARCIA CERVERA, RICHARD LEONARDO</t>
  </si>
  <si>
    <t>LUNA JULON, KIMBERLY</t>
  </si>
  <si>
    <t>MARCELO DÍAZ, MARCIA LORENA</t>
  </si>
  <si>
    <t>QUINTANA DIAZ, ANGIE DAYANA</t>
  </si>
  <si>
    <t>QUISPE MENDOZA, ALMENDRA NAHOMY</t>
  </si>
  <si>
    <t>RODRIGUEZ PUICON, GIORDANA ELIZABETH</t>
  </si>
  <si>
    <t>ROSILLO SILVA, DIANA LIZBETH</t>
  </si>
  <si>
    <t>VALLEJO CUEVA, HAYDEE PIERINA</t>
  </si>
  <si>
    <t>VILCHEZ TORRES, LUCERO</t>
  </si>
  <si>
    <t>HC</t>
  </si>
  <si>
    <t>MATEMATICA</t>
  </si>
  <si>
    <t>202TD06776</t>
  </si>
  <si>
    <t>PERGIA27@GMAIL.COM</t>
  </si>
  <si>
    <t>202TD07093</t>
  </si>
  <si>
    <t>ANGGIE_2003@HOTMAIL.COM</t>
  </si>
  <si>
    <t>202TD07141</t>
  </si>
  <si>
    <t>DANITZAACH11@GMAIL.COM</t>
  </si>
  <si>
    <t>202TD07370</t>
  </si>
  <si>
    <t>ESTRELLAALVAREZLLONTOP@GMAIL.COM</t>
  </si>
  <si>
    <t>202TD06877</t>
  </si>
  <si>
    <t>NAADTIA@GMAIL.COM</t>
  </si>
  <si>
    <t>202TD07165</t>
  </si>
  <si>
    <t>NETYANSSL@GMAIL.COM</t>
  </si>
  <si>
    <t>202TD07314</t>
  </si>
  <si>
    <t>ARICASOSAYOSI@GMAIL.COM</t>
  </si>
  <si>
    <t>202TD07120</t>
  </si>
  <si>
    <t>CAROLINA2611004@GMAIL.COM</t>
  </si>
  <si>
    <t>202TD07267</t>
  </si>
  <si>
    <t>ELIZABETHACUARIO29@GMAIL.COM</t>
  </si>
  <si>
    <t>202TD07433</t>
  </si>
  <si>
    <t>BANCESACOSTAAGUSTIN@GMAIL.COM</t>
  </si>
  <si>
    <t>202TD06810</t>
  </si>
  <si>
    <t>DENNYSBANCES29@GMAIL.COM</t>
  </si>
  <si>
    <t>202TD07394</t>
  </si>
  <si>
    <t>BANCESSANTISTEBANPILAR@GMAIL.COM</t>
  </si>
  <si>
    <t>202TD07440</t>
  </si>
  <si>
    <t>MBARBOZASANCHEZ@GMAIL.COM</t>
  </si>
  <si>
    <t>202TD06866</t>
  </si>
  <si>
    <t>202TD07100</t>
  </si>
  <si>
    <t>202TD07409</t>
  </si>
  <si>
    <t>CAICEDODANIEL369@GMAIL.COM</t>
  </si>
  <si>
    <t>202TD06766</t>
  </si>
  <si>
    <t>202TD07110</t>
  </si>
  <si>
    <t>WENDYCALLIRGOS1@GMAIL.COM</t>
  </si>
  <si>
    <t>202TD07324</t>
  </si>
  <si>
    <t>FERNANDACASTANEDA85@GMAIL.COM</t>
  </si>
  <si>
    <t>202TD07121</t>
  </si>
  <si>
    <t>ALECASTILLOALC@GMAIL.COM</t>
  </si>
  <si>
    <t>202TD07377</t>
  </si>
  <si>
    <t>JIMMYCASTILLOARTEAGA97@GMAIL.COM</t>
  </si>
  <si>
    <t>202TD07053</t>
  </si>
  <si>
    <t>202TD07393</t>
  </si>
  <si>
    <t>EDWINJAIRCAY@HOTMAIL.COM</t>
  </si>
  <si>
    <t>202TD07449</t>
  </si>
  <si>
    <t>FERNANDOEMANUELCENTURIONJULCA@GMAIL.COM</t>
  </si>
  <si>
    <t>202TD07167</t>
  </si>
  <si>
    <t>GIZEJA_20@HOTMAIL.COM</t>
  </si>
  <si>
    <t>202TD07382</t>
  </si>
  <si>
    <t>CHEROALCATEL@GMAIL.COM</t>
  </si>
  <si>
    <t>202TD07006</t>
  </si>
  <si>
    <t>MANUEL.CH.SA142002@OUTLOOK.COM</t>
  </si>
  <si>
    <t>202TD06777</t>
  </si>
  <si>
    <t>MRCOBPAZ@GMAIL.COM</t>
  </si>
  <si>
    <t>202TD06741</t>
  </si>
  <si>
    <t>VIVIANACOLUNCHE64@GMAIL.COM</t>
  </si>
  <si>
    <t>202TD07436</t>
  </si>
  <si>
    <t>LUISJOSECUEVAE26@GMAIL.COM</t>
  </si>
  <si>
    <t>202TD07427</t>
  </si>
  <si>
    <t>MARYORIDELRIO11@GMAIL.COM</t>
  </si>
  <si>
    <t>202TD07435</t>
  </si>
  <si>
    <t>DELGADO_ALFREDO.J@HOTMAIL.COM</t>
  </si>
  <si>
    <t>202TD07317</t>
  </si>
  <si>
    <t>AXEL6381234@OUTLOOK.COM</t>
  </si>
  <si>
    <t>202TD07402</t>
  </si>
  <si>
    <t>JULILISSETH10@GMAIL.COM</t>
  </si>
  <si>
    <t>202TD07423</t>
  </si>
  <si>
    <t>ELJOEVAS22@GMAIL.COM</t>
  </si>
  <si>
    <t>202TD06848</t>
  </si>
  <si>
    <t>ESPINOZARIVERAARIANAS14@GMAIL.COM</t>
  </si>
  <si>
    <t>202TD07426</t>
  </si>
  <si>
    <t>202TD07419</t>
  </si>
  <si>
    <t>202TD06730</t>
  </si>
  <si>
    <t>FERNANDEZANGELA696@GMAIL.COM</t>
  </si>
  <si>
    <t>202TD07173</t>
  </si>
  <si>
    <t>LESLYGALANFIESTAS2@GMAIL.COM</t>
  </si>
  <si>
    <t>202TD07025</t>
  </si>
  <si>
    <t>KATERINGALVEZJ@GMAIL.COM</t>
  </si>
  <si>
    <t>202TD07444</t>
  </si>
  <si>
    <t>CGAMARRAG16@GMAIL.COM</t>
  </si>
  <si>
    <t>202TD06773</t>
  </si>
  <si>
    <t>GRICHARDLEONARDO@GMAIL.COM</t>
  </si>
  <si>
    <t>202TD07117</t>
  </si>
  <si>
    <t>MARIAGIL20032004@GMAIL.COM</t>
  </si>
  <si>
    <t>202TD07095</t>
  </si>
  <si>
    <t>JOSEDAVIDGG17@GMAIL.COM</t>
  </si>
  <si>
    <t>202TD06811</t>
  </si>
  <si>
    <t>DAYA090802@GMAIL.COM</t>
  </si>
  <si>
    <t>202TD07451</t>
  </si>
  <si>
    <t>CELULARES8011@GMAIL.COM</t>
  </si>
  <si>
    <t>202TD07071</t>
  </si>
  <si>
    <t>ELSISITAG2@GMAIL.COM</t>
  </si>
  <si>
    <t>202TD07389</t>
  </si>
  <si>
    <t>MHERNAGONZALES@GMAIL.COM</t>
  </si>
  <si>
    <t>202TD07392</t>
  </si>
  <si>
    <t>YANELI.SUSETTY.HERRERA.GONZALES@GMAIL.COM</t>
  </si>
  <si>
    <t>202TD07151</t>
  </si>
  <si>
    <t>KIARA.IZQUIERDO13@GMAIL.COM</t>
  </si>
  <si>
    <t>202TD07405</t>
  </si>
  <si>
    <t>WILSON200216@GMAIL.COM</t>
  </si>
  <si>
    <t>202TD07367</t>
  </si>
  <si>
    <t>JOSEP2772@HOTMAIL.COM</t>
  </si>
  <si>
    <t>202TD07074</t>
  </si>
  <si>
    <t>LLEGUIASIESQUEN@GMAIL.COM</t>
  </si>
  <si>
    <t>202TD06963</t>
  </si>
  <si>
    <t>JACK_LEON22@HOTMAIL.COM</t>
  </si>
  <si>
    <t>202TD06888</t>
  </si>
  <si>
    <t>KIL_1993_LC@HOTMAIL.COM</t>
  </si>
  <si>
    <t>202TD07035</t>
  </si>
  <si>
    <t>MANUELLIZANA@OUTLOOK.COM</t>
  </si>
  <si>
    <t>202TD07037</t>
  </si>
  <si>
    <t>IVETTELIZANO@GMAIL.COM</t>
  </si>
  <si>
    <t>202TD07445</t>
  </si>
  <si>
    <t>LUNACELESTE073@GMAIL.COM</t>
  </si>
  <si>
    <t>202TD07418</t>
  </si>
  <si>
    <t>202TD07099</t>
  </si>
  <si>
    <t>202TD07443</t>
  </si>
  <si>
    <t>SGBRYAN6701@GMAIL.COM</t>
  </si>
  <si>
    <t>202TD06900</t>
  </si>
  <si>
    <t>FLOR.MELENDEZ0402@GMAIL.COM</t>
  </si>
  <si>
    <t>202TD06936</t>
  </si>
  <si>
    <t>JULIOJAVIERMONTENEGRO16@GMAIL.COM</t>
  </si>
  <si>
    <t>202TD07118</t>
  </si>
  <si>
    <t>VICTORHUGOMORALESDOIG@GMAIL.COM</t>
  </si>
  <si>
    <t>202TD07159</t>
  </si>
  <si>
    <t>XIOMARAMORALES1225@GMAIL.COM</t>
  </si>
  <si>
    <t>202TD06765</t>
  </si>
  <si>
    <t>JOSE_FRANCISCO_MORI1331@HOTMAIL.COM</t>
  </si>
  <si>
    <t>202TD07313</t>
  </si>
  <si>
    <t>ALONSONINO327@GMAIL.COM</t>
  </si>
  <si>
    <t>202TD07425</t>
  </si>
  <si>
    <t>LESLIE.PALACIOS282003@GMAIL.COM</t>
  </si>
  <si>
    <t>202TD07469</t>
  </si>
  <si>
    <t>JEMINA824@GMAIL.COM</t>
  </si>
  <si>
    <t>202TD07156</t>
  </si>
  <si>
    <t>JENNIFERPAUCARTERRONES@GMAIL.COM</t>
  </si>
  <si>
    <t>202TD07149</t>
  </si>
  <si>
    <t>CINTHYA88A@HOTMAIL.COM</t>
  </si>
  <si>
    <t>202TD07354</t>
  </si>
  <si>
    <t>ARIES_VIRGO_2503@HOTMAIL.COM</t>
  </si>
  <si>
    <t>202TD07176</t>
  </si>
  <si>
    <t>NQUISPEM1503@GMAIL.COM</t>
  </si>
  <si>
    <t>202TD07060</t>
  </si>
  <si>
    <t>ESCORPIO_0926@HOTMAIL.COM</t>
  </si>
  <si>
    <t>202TD07434</t>
  </si>
  <si>
    <t>LORESLYREYESJJB5A@GMAIL.COM</t>
  </si>
  <si>
    <t>202TD06950</t>
  </si>
  <si>
    <t>202TD07102</t>
  </si>
  <si>
    <t>HELDERLOPEZF@HOTMAIL.COM</t>
  </si>
  <si>
    <t>202TD07417</t>
  </si>
  <si>
    <t>202TD07069</t>
  </si>
  <si>
    <t>MARIACARMELA_0409@HOTMAIL.COM</t>
  </si>
  <si>
    <t>202TD07472</t>
  </si>
  <si>
    <t>MARICIELORUIZ@ICLOUD.COM</t>
  </si>
  <si>
    <t>202TD07446</t>
  </si>
  <si>
    <t>ELIZETHSR03@GMAIL.COM</t>
  </si>
  <si>
    <t>202TD07044</t>
  </si>
  <si>
    <t>TATIANALIZBETH.20@GMAIL.COM</t>
  </si>
  <si>
    <t>202TD07148</t>
  </si>
  <si>
    <t>SHANESANDOVAL568@GMAIL.COM</t>
  </si>
  <si>
    <t>202TD07412</t>
  </si>
  <si>
    <t>JOSEPH.ABAD2003@GMAIL.COM</t>
  </si>
  <si>
    <t>202TD06770</t>
  </si>
  <si>
    <t>FATIMA_3005@HOTMAIL.COM</t>
  </si>
  <si>
    <t>202TD07130</t>
  </si>
  <si>
    <t>ROMINAALEJANDRASECLEN@GMAIL.COM</t>
  </si>
  <si>
    <t>202TD06740</t>
  </si>
  <si>
    <t>202TD07395</t>
  </si>
  <si>
    <t>TAFURPISCOYAL@GMAIL.COM</t>
  </si>
  <si>
    <t>202TD06899</t>
  </si>
  <si>
    <t>TERESATAPIAVARGAS16@GMAIL.COM</t>
  </si>
  <si>
    <t>202TD06889</t>
  </si>
  <si>
    <t>YOSSELINTERRONES_0722@HOTMAIL.COM</t>
  </si>
  <si>
    <t>202TD07410</t>
  </si>
  <si>
    <t>IDELSATINEO8@GMAIL.COM</t>
  </si>
  <si>
    <t>202TD07465</t>
  </si>
  <si>
    <t>CARLOSVC064@HOTMAIL.COM</t>
  </si>
  <si>
    <t>202TD07051</t>
  </si>
  <si>
    <t>pierivcueva2@hotmail.com</t>
  </si>
  <si>
    <t>202TD07355</t>
  </si>
  <si>
    <t>CIBE06VC@GMAIL.COM</t>
  </si>
  <si>
    <t>202TD07070</t>
  </si>
  <si>
    <t>DELIAEQT@GMAIL.COM</t>
  </si>
  <si>
    <t>202TD07399</t>
  </si>
  <si>
    <t>MARIELAV3598@GMAIL.COM</t>
  </si>
  <si>
    <t>202TD07181</t>
  </si>
  <si>
    <t>VIGOSAAVEDRACHRISTIAN27@GMAIL.COM</t>
  </si>
  <si>
    <t>202TD07447</t>
  </si>
  <si>
    <t>LUCEROVILCHEZ2000@GMAIL.COM</t>
  </si>
  <si>
    <t>202TD07450</t>
  </si>
  <si>
    <t>MARCO17112001ESCORPIO@GMAIL.COM</t>
  </si>
  <si>
    <t>202TD07391</t>
  </si>
  <si>
    <t>KAREMALEXIAV@GMAIL.COM</t>
  </si>
  <si>
    <t>202TD06762</t>
  </si>
  <si>
    <t>CIELOVP34@GMAIL.COM</t>
  </si>
  <si>
    <t>202TD07119</t>
  </si>
  <si>
    <t>YAMUNAQUE999@GMAIL.COM</t>
  </si>
  <si>
    <t>23/05/2020</t>
  </si>
  <si>
    <t>CON</t>
  </si>
  <si>
    <t>ENT</t>
  </si>
  <si>
    <t>Ingresantes al Ciclo Académico 2020-II</t>
  </si>
  <si>
    <t>%C</t>
  </si>
  <si>
    <t>%R</t>
  </si>
  <si>
    <t>%M</t>
  </si>
  <si>
    <t>EXAMEN DE ADMISIÓN: 
sábado, 23 de Mayo de 2020</t>
  </si>
  <si>
    <t>CASTILLO ALCÁNTARA, MARIA ALEJANDRA</t>
  </si>
  <si>
    <t>CENTURION JULCA, FERNANDO EMANUEL</t>
  </si>
  <si>
    <t>VILLANUEVA FELIPA, KAREM ALEXIA</t>
  </si>
  <si>
    <t>GAMARRA GARBOZA, CARLOS ENRRIQUE</t>
  </si>
  <si>
    <t>CUEVA ECHEANDIA, LUIS JOSE</t>
  </si>
  <si>
    <t>QUISPE LIZANA, NOELIA ELIZABETH</t>
  </si>
  <si>
    <t>MORALES DOIG, VICTOR HUGO</t>
  </si>
  <si>
    <t>CASTAÑEDA CABRERA, MARIA FERNANDA</t>
  </si>
  <si>
    <t>SANCHEZ GUERRERO, TATIANA LISBETH</t>
  </si>
  <si>
    <t>CHAFLOQUE GONZÁLEZ, YAHAIRA NAYELI</t>
  </si>
  <si>
    <t>SECLEN CESPEDES, ROMINA ALEJANDRA</t>
  </si>
  <si>
    <t>ARICA SOSA, YOSI</t>
  </si>
  <si>
    <t>ANSSUINI LEO, NADIA KATHERINE DEL MILAGRO</t>
  </si>
  <si>
    <t>IZQUIERDO PEÑA, BRITHNEY KIARA</t>
  </si>
  <si>
    <t>SOPLAPUCO TAVARA, IVANNA CAROLINS</t>
  </si>
  <si>
    <t>REDACCIÓN /</t>
  </si>
  <si>
    <t>MARQUINA SILVA, BRYAN IVAN</t>
  </si>
  <si>
    <t>VIGO SAAVEDRA, CHRISTIAN ADRIAN</t>
  </si>
  <si>
    <t>BANCES SANTISTEBAN, BLANCA NATHALY DEL PILAR</t>
  </si>
  <si>
    <t>REDACCIÓN /MATEMATICA</t>
  </si>
  <si>
    <t>AGUILAR ROQUE, ANGGIE VANESSA</t>
  </si>
  <si>
    <t>COMPRENSIÓN LECTORA /</t>
  </si>
  <si>
    <t>VENTURA VIDAURRE, INES MARIELA</t>
  </si>
  <si>
    <t>RUIZ ROJAS, MARICIELO YAMILETH</t>
  </si>
  <si>
    <t>TAPIA VARGAS, LUZ TERESA</t>
  </si>
  <si>
    <t>ACOSTA SALAZAR, PERCY GIANMARCO</t>
  </si>
  <si>
    <t>MORALES SANCHEZ, ABIGAIL XIOMARA</t>
  </si>
  <si>
    <t>PALACIOS AGUILAR, LESLIE LORENA</t>
  </si>
  <si>
    <t>GUTIERREZ LOPEZ, ELSI MARINA</t>
  </si>
  <si>
    <t>LEGUIA SIESQUEN, LUIS GUSTAVO</t>
  </si>
  <si>
    <t>TERRONES GOICOCHEA, YOSSELIN LISETH</t>
  </si>
  <si>
    <t>SANTISTEBAN ZAMORA, FATIMA MARIANA</t>
  </si>
  <si>
    <t>VEGA TORRES, JENNY MIRELIA</t>
  </si>
  <si>
    <t>PALOMINO CLAVO, JEMINA ALELY</t>
  </si>
  <si>
    <t>NO ALCANZÓ VACANTE</t>
  </si>
  <si>
    <t>1° ACCESITARIO</t>
  </si>
  <si>
    <t>MELENDEZ AQUINO, FLOR DE MARIA</t>
  </si>
  <si>
    <t>HERNA GONZALES, MARIAESTELA</t>
  </si>
  <si>
    <t>MORI CORONEL, JOSE FRANCISCO</t>
  </si>
  <si>
    <t>CHERO MACEDO, FRANCISCO JAVIER</t>
  </si>
  <si>
    <t>ROSALES TESÉN, YULIANA</t>
  </si>
  <si>
    <t>2° ACCESITARIO</t>
  </si>
  <si>
    <t>HERRERA GONZALES, YANELI SUSSETY</t>
  </si>
  <si>
    <t>DIAZ RODRIGUEZ, JULIA LISSETH</t>
  </si>
  <si>
    <t>MONTENEGRO RUBIO, JULIO JAVIER</t>
  </si>
  <si>
    <t>JARA BRITO, WILSON KELVIN</t>
  </si>
  <si>
    <t>DEL RIO DIAZ, MARYORI YANIXA</t>
  </si>
  <si>
    <t>LIZANO REVILLA, IVETTE GRACIELA</t>
  </si>
  <si>
    <t>RUIZ RAMOS, MARIA CARMELA</t>
  </si>
  <si>
    <t>ALVAREZ LLONTOP, ESTRELLA ALEJANDRA</t>
  </si>
  <si>
    <t>FERNANDEZ TARRILLO, ANGELA IVET</t>
  </si>
  <si>
    <t>ESPINOZA RIVERA, ARIANA SAMIRA</t>
  </si>
  <si>
    <t>RAMOS CESPEDES, PABLO ALEXANDER</t>
  </si>
  <si>
    <t>REYES FLORES, LORESLY JARIFFY</t>
  </si>
  <si>
    <t>VALDERA CHAFLOQUE, CARLOS ENRIQUE</t>
  </si>
  <si>
    <t>CASTILLO ARTIAGA, JIMMY</t>
  </si>
  <si>
    <t>COMPRENSIÓN LECTORA /REDACCIÓN /</t>
  </si>
  <si>
    <t>GONZALES DÍAZ, AMMY DAYANA</t>
  </si>
  <si>
    <t>FERNÁNDEZ FARRO, JENNER ALEJANDRO</t>
  </si>
  <si>
    <t>CAICEDO INOÑAN, DANIEL FERNANDO</t>
  </si>
  <si>
    <t>AURAZO HERRERA, ELIZABETH DEL PILAR</t>
  </si>
  <si>
    <t>NIÑO FLORES, MIGUEL ALONSO</t>
  </si>
  <si>
    <t>GALVEZ JULCA, KATERIN ARELIS</t>
  </si>
  <si>
    <t>3° ACCESITARIO</t>
  </si>
  <si>
    <t>SAMANAMU SANCHEZ, YADIRA ANALY</t>
  </si>
  <si>
    <t>VASQUEZ CORONEL, CALICIA ALONDRA</t>
  </si>
  <si>
    <t>GUEVARA RODRIGUEZ, MAURICIO JEAN PIER</t>
  </si>
  <si>
    <t>SANTAMARIA ABAD, JAIME JOSEPH</t>
  </si>
  <si>
    <t>COMPRENSIÓN LECTORA /REDACCIÓN /MATEMATICA</t>
  </si>
  <si>
    <t>CAYOTOPA RODRÍGUEZ, EDWIN JAIR</t>
  </si>
  <si>
    <t>SANDOVAL GUZMÁN, SHANE SEGUNDO SANTIAGO</t>
  </si>
  <si>
    <t>CALLIRGOS GONZA, WENDY JACKELINE</t>
  </si>
  <si>
    <t>ANSSUINI LEO, NETY MIRZAGALY</t>
  </si>
  <si>
    <t>TAFUR PISCOYA, LUIS ENRIQUE</t>
  </si>
  <si>
    <t>JUAREZ URREGO, JOSEFA</t>
  </si>
  <si>
    <t>LUNA CRUZADO, MARÍA CELESTE</t>
  </si>
  <si>
    <t>EFUS VASQUEZ, ELMER JOSEPH</t>
  </si>
  <si>
    <t>DIAZ MUÑOZ, AXEL GABRIEL</t>
  </si>
  <si>
    <t>GALAN FIESTAS, LESLY NAYELY</t>
  </si>
  <si>
    <t>YAMUNAQUE CHAMBA, GABRIEL ANGEL</t>
  </si>
  <si>
    <t>VILCHEZ TORRES, MARCOS MANUEL</t>
  </si>
  <si>
    <t>TINEO TINEO, IDELSA</t>
  </si>
  <si>
    <t>LIZA CAMPOS, KILTON TONDIK</t>
  </si>
  <si>
    <t>GODOS GUTIERREZ, JOSE DAVID</t>
  </si>
  <si>
    <t>LEÓN SERRANO, JACK LEYTTON</t>
  </si>
  <si>
    <t>--</t>
  </si>
  <si>
    <t>GIL NUÑEZ, MARÍA ANTONELLA</t>
  </si>
  <si>
    <t>DELGADO PILLACA, ALFREDO JAVIER</t>
  </si>
  <si>
    <t>BANCES ACOSTA, AGUSTÍN</t>
  </si>
  <si>
    <t>VILLEGAS PERALES, MARYCIELO DEL ROSARIO</t>
  </si>
  <si>
    <t>CONTEO DEL EVENTO: 23-05-2020</t>
  </si>
  <si>
    <t>ACTIVO</t>
  </si>
  <si>
    <t>REGISTRO DE DATA</t>
  </si>
  <si>
    <t>CON. GENERALES</t>
  </si>
  <si>
    <t>%CG</t>
  </si>
  <si>
    <t>CAMPOS</t>
  </si>
  <si>
    <t>DESCRIPCIÓN</t>
  </si>
  <si>
    <t>REPORTE:</t>
  </si>
  <si>
    <t>EST</t>
  </si>
  <si>
    <t>Numero de Registro</t>
  </si>
  <si>
    <t>Codigo Universitario</t>
  </si>
  <si>
    <t>DNI/C.E.</t>
  </si>
  <si>
    <t>APELLIDOS Y NOMBRES</t>
  </si>
  <si>
    <t>MODALIDAD DE INGRESO</t>
  </si>
  <si>
    <t>CARRERA DE INGRESO</t>
  </si>
  <si>
    <t>ESTADO DE INGRESO</t>
  </si>
  <si>
    <t>PUNTAJE DE CONOCIMIENTO</t>
  </si>
  <si>
    <t>PUNTAJE DE ENTREVISTA</t>
  </si>
  <si>
    <t>PUNTAJE FINAL</t>
  </si>
  <si>
    <t>ESTADO DE NIVELACIÓN</t>
  </si>
  <si>
    <t>MATERIAS PARA NIVELACIÓN</t>
  </si>
  <si>
    <t>NUMERO DE ACCESITARIO POR CARRERA</t>
  </si>
  <si>
    <t>PORCENTAJE DE COMPRENSION</t>
  </si>
  <si>
    <t>PORCENTAJE DE REDACCIÓN</t>
  </si>
  <si>
    <t>PORCENTAJE DE MATEMATICA</t>
  </si>
  <si>
    <t>PORCENTAJE DE CONOCIMIENTOS GENERALES</t>
  </si>
  <si>
    <t>TELEFONO DEL POSTULANTE</t>
  </si>
  <si>
    <t>TELEFONO DEL APODERADO</t>
  </si>
  <si>
    <t>CORREO POSTULANTE</t>
  </si>
  <si>
    <t>Estado ingreso(&gt;=nota minima registrada)</t>
  </si>
  <si>
    <t>Estado ingreso real(&gt;=12)</t>
  </si>
  <si>
    <t>estado NIV (SI %C11 o %C12 o %M1 &gt;=0.6)</t>
  </si>
  <si>
    <t>Preguntas de comprensión ( de la 1-5, de la 16-25)</t>
  </si>
  <si>
    <t>Preguntas de redacción ( de la 6-15)</t>
  </si>
  <si>
    <t>Modalidad</t>
  </si>
  <si>
    <t>PTJE Conocimiento</t>
  </si>
  <si>
    <t>PTJE Entrevista</t>
  </si>
  <si>
    <t>PTJE final</t>
  </si>
  <si>
    <t>PTJE Final</t>
  </si>
  <si>
    <t>ESTADO de ingreso</t>
  </si>
  <si>
    <t>Requiere NIVELACIÓN</t>
  </si>
  <si>
    <t>MATERIA de NIVELACION</t>
  </si>
  <si>
    <t>Nota&gt;=12</t>
  </si>
  <si>
    <t>Carrera</t>
  </si>
  <si>
    <t>Estado</t>
  </si>
  <si>
    <t>Nota Minima</t>
  </si>
  <si>
    <t>Nota Máxima</t>
  </si>
  <si>
    <t>Nota mínima</t>
  </si>
  <si>
    <t>Nota máxima</t>
  </si>
  <si>
    <t>Nº de ingresantes</t>
  </si>
  <si>
    <t>Nº accesitarios</t>
  </si>
  <si>
    <t>Nº No Ingresantes</t>
  </si>
  <si>
    <t>Nª postulantes</t>
  </si>
  <si>
    <t>Telefono estuidiante</t>
  </si>
  <si>
    <t>Teléfono apoderado</t>
  </si>
  <si>
    <t>Telèfono estudiante</t>
  </si>
  <si>
    <t>Correo postulante</t>
  </si>
  <si>
    <t>NOTA Mìnima</t>
  </si>
  <si>
    <t>Nº postulantes</t>
  </si>
  <si>
    <t>Nota de último ingresante</t>
  </si>
  <si>
    <t>Nº de accesitarios</t>
  </si>
  <si>
    <t>Nº ingresantes</t>
  </si>
  <si>
    <t>Nº Postulantes</t>
  </si>
  <si>
    <t>Vacantes para evento</t>
  </si>
  <si>
    <t>CONTEO DEL EVENTO DE ADMISIÓN: 23-05-2020</t>
  </si>
  <si>
    <t>Requieren nivelación</t>
  </si>
  <si>
    <t>No requieren nivelación</t>
  </si>
  <si>
    <t>No requieren Nivelación</t>
  </si>
  <si>
    <t>Nivelación_Comunicación</t>
  </si>
  <si>
    <t>Nivelación_Matemática</t>
  </si>
  <si>
    <t>Nivelación Comun_Matem.</t>
  </si>
  <si>
    <t>Nota 12</t>
  </si>
  <si>
    <t>Nota 11.5</t>
  </si>
  <si>
    <t>Nota 11</t>
  </si>
  <si>
    <t>Nota 10.5</t>
  </si>
  <si>
    <t>Nota 10</t>
  </si>
  <si>
    <t>Nota 9.5</t>
  </si>
  <si>
    <t>Nota 9</t>
  </si>
  <si>
    <t>Nota 8.5</t>
  </si>
  <si>
    <t>Nota 8</t>
  </si>
  <si>
    <t>Nota 7.5</t>
  </si>
  <si>
    <t>Nota 7</t>
  </si>
  <si>
    <t>Nota 6.5</t>
  </si>
  <si>
    <t>Nota 6</t>
  </si>
  <si>
    <t>Nota 5.5</t>
  </si>
  <si>
    <t>Nota 5</t>
  </si>
  <si>
    <t>Conteo de ingresos por EVENTO DE ADMISIÓN: 23 DE MAYO</t>
  </si>
  <si>
    <t>RESULTADOS DEL EVENTO DE ADMISIÓN: 23 DE MAYO</t>
  </si>
  <si>
    <t>REPORTE DE EVALUACIÓN DEL EVENTO: 23 DE MAYO</t>
  </si>
  <si>
    <t>Carrera de ingreso</t>
  </si>
  <si>
    <t>Carrera Activo / inactivo de acuerdo al ciclo de estudio</t>
  </si>
  <si>
    <t>Nota minima del evento de admisión</t>
  </si>
  <si>
    <t>Nota máxima del evento de admisión</t>
  </si>
  <si>
    <t>Nº de ingresantes mayor o igual a 12</t>
  </si>
  <si>
    <t>Nota de ingreso permitido por evento</t>
  </si>
  <si>
    <t>Número de ingresantes de acuerdo a la nota definida para darle ingreso</t>
  </si>
  <si>
    <t>Número de ingresantes que quedan en condiciòn de accesitarios</t>
  </si>
  <si>
    <t xml:space="preserve">Números de NO INGRESANTES </t>
  </si>
  <si>
    <t>Número de postulantes activos por carrera al evento de admisión</t>
  </si>
  <si>
    <t>Nº de ingresantes menor a 12 y que requieren nivelación</t>
  </si>
  <si>
    <t>Nº de ingresantes mayor a 12 y que NO requieren nivelación</t>
  </si>
  <si>
    <t>Nº de ingresantes menor a 12 y que requieren nivelación de comunicación</t>
  </si>
  <si>
    <t>Nº de ingresantes menor a 12 y que requieren nivelación de matemática</t>
  </si>
  <si>
    <t>Nº de ingresantes menor a 12 y que requieren nivelación de comunicación y matemática</t>
  </si>
  <si>
    <t>%Comprensión</t>
  </si>
  <si>
    <t>%Redacción</t>
  </si>
  <si>
    <t>%Matemática</t>
  </si>
  <si>
    <t>%Conocimientos Generales</t>
  </si>
  <si>
    <t>Nota permitida de último ingresante</t>
  </si>
  <si>
    <t>Nº de postulantes con nota =&gt; a 12</t>
  </si>
  <si>
    <t>Nº de postulantes con nota =&gt; a 5</t>
  </si>
  <si>
    <t>Nº de postulantes con nota =&gt; a 11</t>
  </si>
  <si>
    <t>Nº de postulantes con nota =&gt; a 10</t>
  </si>
  <si>
    <t>Nº de postulantes con nota =&gt; a 9</t>
  </si>
  <si>
    <t>Nº de postulantes con nota =&gt; a 8</t>
  </si>
  <si>
    <t>Nº de postulantes con nota =&gt; a 7</t>
  </si>
  <si>
    <t>Nº de postulantes con nota =&gt; a 6</t>
  </si>
  <si>
    <t>Nº de postulantes con nota =&gt; a 11.5</t>
  </si>
  <si>
    <t>Nº de postulantes con nota =&gt; a 10.5</t>
  </si>
  <si>
    <t>Nº de postulantes con nota =&gt; a 9.5</t>
  </si>
  <si>
    <t>Nº de postulantes con nota =&gt; a 8.5</t>
  </si>
  <si>
    <t>Nº de postulantes con nota =&gt; a 7.5</t>
  </si>
  <si>
    <t>Nº de postulantes con nota =&gt; a 6.5</t>
  </si>
  <si>
    <t>Nº de postulantes con nota =&gt; a 5.5</t>
  </si>
  <si>
    <t>Número de postulantes que rindieron examen</t>
  </si>
  <si>
    <t>Nùmero de vacantes ofertadas para el evento de admisión</t>
  </si>
  <si>
    <t>Nota mìnima de ingreso que prmitió la dirección A&amp;M</t>
  </si>
  <si>
    <t>Número de ingresantes que alcanzaron vacante y se mantienen en espera de renuncia del titular</t>
  </si>
  <si>
    <t>Conteo final del número de ingresantes en base a las vacantes ofertadas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</si>
</sst>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"/>
    <numFmt numFmtId="165" formatCode="dd\-mmm\-yy;@"/>
  </numFmts>
  <fonts count="48" x14ac:knownFonts="1">
    <font>
      <sz val="11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0"/>
      <color theme="2" tint="-0.499984740745262"/>
      <name val="Arial"/>
      <family val="2"/>
    </font>
    <font>
      <sz val="11"/>
      <color rgb="FF000000"/>
      <name val="Calibri"/>
      <family val="2"/>
    </font>
    <font>
      <b/>
      <sz val="16"/>
      <color theme="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3"/>
      <name val="Calibri"/>
      <family val="2"/>
      <scheme val="minor"/>
    </font>
    <font>
      <sz val="16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6"/>
      <color theme="3"/>
      <name val="Calibri"/>
      <family val="2"/>
      <scheme val="minor"/>
    </font>
    <font>
      <b/>
      <sz val="20"/>
      <color theme="3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8"/>
      <name val="Calibri"/>
      <family val="2"/>
      <scheme val="minor"/>
    </font>
    <font>
      <sz val="18"/>
      <color rgb="FF9C000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name val="Arial"/>
      <family val="2"/>
    </font>
    <font>
      <b/>
      <sz val="12"/>
      <color theme="1"/>
      <name val="Calibri"/>
      <family val="2"/>
      <scheme val="minor"/>
    </font>
    <font>
      <b/>
      <sz val="26"/>
      <color theme="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0"/>
      <name val="Arial"/>
      <family val="2"/>
    </font>
    <font>
      <sz val="9"/>
      <color theme="1" tint="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b/>
      <sz val="18"/>
      <color theme="0"/>
      <name val="Arial"/>
      <family val="2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theme="0"/>
      <name val="Arial"/>
      <family val="2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11">
    <xf numFmtId="0" fontId="0" fillId="0" borderId="0"/>
    <xf numFmtId="0" fontId="5" fillId="0" borderId="0"/>
    <xf numFmtId="0" fontId="9" fillId="0" borderId="0"/>
    <xf numFmtId="0" fontId="11" fillId="0" borderId="0" applyNumberFormat="0" applyFill="0" applyBorder="0" applyAlignment="0" applyProtection="0"/>
    <xf numFmtId="0" fontId="12" fillId="0" borderId="37" applyNumberFormat="0" applyFill="0" applyAlignment="0" applyProtection="0"/>
    <xf numFmtId="0" fontId="13" fillId="0" borderId="38" applyNumberFormat="0" applyFill="0" applyAlignment="0" applyProtection="0"/>
    <xf numFmtId="0" fontId="14" fillId="14" borderId="0" applyNumberFormat="0" applyBorder="0" applyAlignment="0" applyProtection="0"/>
    <xf numFmtId="9" fontId="6" fillId="0" borderId="0" applyFont="0" applyFill="0" applyBorder="0" applyAlignment="0" applyProtection="0"/>
    <xf numFmtId="0" fontId="31" fillId="0" borderId="0"/>
    <xf numFmtId="0" fontId="9" fillId="0" borderId="0"/>
    <xf numFmtId="0" fontId="39" fillId="0" borderId="0" applyNumberFormat="0" applyFill="0" applyBorder="0" applyAlignment="0" applyProtection="0"/>
  </cellStyleXfs>
  <cellXfs count="306">
    <xf numFmtId="0" fontId="0" fillId="0" borderId="0" xfId="0"/>
    <xf numFmtId="0" fontId="0" fillId="2" borderId="0" xfId="0" applyFill="1" applyProtection="1">
      <protection locked="0" hidden="1"/>
    </xf>
    <xf numFmtId="0" fontId="0" fillId="2" borderId="19" xfId="0" applyFill="1" applyBorder="1" applyProtection="1">
      <protection locked="0" hidden="1"/>
    </xf>
    <xf numFmtId="0" fontId="0" fillId="2" borderId="0" xfId="0" applyNumberFormat="1" applyFill="1" applyProtection="1">
      <protection locked="0" hidden="1"/>
    </xf>
    <xf numFmtId="0" fontId="29" fillId="3" borderId="1" xfId="0" applyFont="1" applyFill="1" applyBorder="1" applyAlignment="1" applyProtection="1">
      <alignment vertical="center"/>
      <protection locked="0" hidden="1"/>
    </xf>
    <xf numFmtId="49" fontId="1" fillId="3" borderId="2" xfId="0" applyNumberFormat="1" applyFont="1" applyFill="1" applyBorder="1" applyAlignment="1" applyProtection="1">
      <alignment vertical="center"/>
      <protection locked="0" hidden="1"/>
    </xf>
    <xf numFmtId="0" fontId="1" fillId="3" borderId="2" xfId="0" applyFont="1" applyFill="1" applyBorder="1" applyAlignment="1" applyProtection="1">
      <alignment vertical="center"/>
      <protection locked="0" hidden="1"/>
    </xf>
    <xf numFmtId="165" fontId="32" fillId="3" borderId="3" xfId="0" applyNumberFormat="1" applyFont="1" applyFill="1" applyBorder="1" applyAlignment="1" applyProtection="1">
      <alignment horizontal="center" vertical="center"/>
      <protection locked="0" hidden="1"/>
    </xf>
    <xf numFmtId="0" fontId="0" fillId="19" borderId="5" xfId="0" applyFill="1" applyBorder="1" applyAlignment="1" applyProtection="1">
      <alignment horizontal="center" vertical="center"/>
      <protection locked="0" hidden="1"/>
    </xf>
    <xf numFmtId="0" fontId="0" fillId="19" borderId="6" xfId="0" applyFill="1" applyBorder="1" applyAlignment="1" applyProtection="1">
      <alignment horizontal="center" vertical="center"/>
      <protection locked="0" hidden="1"/>
    </xf>
    <xf numFmtId="0" fontId="0" fillId="2" borderId="0" xfId="0" applyFill="1" applyAlignment="1" applyProtection="1">
      <protection locked="0" hidden="1"/>
    </xf>
    <xf numFmtId="0" fontId="0" fillId="19" borderId="4" xfId="0" applyFill="1" applyBorder="1" applyAlignment="1" applyProtection="1">
      <alignment horizontal="center" vertic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0" fillId="2" borderId="0" xfId="0" applyNumberFormat="1" applyFill="1" applyAlignment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3" borderId="0" xfId="0" applyFill="1" applyAlignment="1" applyProtection="1">
      <alignment horizontal="center"/>
      <protection locked="0" hidden="1"/>
    </xf>
    <xf numFmtId="0" fontId="3" fillId="2" borderId="0" xfId="0" applyFont="1" applyFill="1" applyBorder="1" applyAlignment="1" applyProtection="1">
      <alignment horizontal="center"/>
      <protection locked="0" hidden="1"/>
    </xf>
    <xf numFmtId="0" fontId="1" fillId="3" borderId="35" xfId="0" applyFont="1" applyFill="1" applyBorder="1" applyAlignment="1" applyProtection="1">
      <alignment vertical="center"/>
      <protection locked="0" hidden="1"/>
    </xf>
    <xf numFmtId="49" fontId="1" fillId="3" borderId="0" xfId="0" applyNumberFormat="1" applyFont="1" applyFill="1" applyBorder="1" applyAlignment="1" applyProtection="1">
      <alignment vertical="center"/>
      <protection locked="0" hidden="1"/>
    </xf>
    <xf numFmtId="0" fontId="1" fillId="3" borderId="0" xfId="0" applyFont="1" applyFill="1" applyBorder="1" applyAlignment="1" applyProtection="1">
      <alignment vertical="center"/>
      <protection locked="0" hidden="1"/>
    </xf>
    <xf numFmtId="0" fontId="1" fillId="3" borderId="36" xfId="0" applyFont="1" applyFill="1" applyBorder="1" applyAlignment="1" applyProtection="1">
      <alignment vertical="center"/>
      <protection locked="0" hidden="1"/>
    </xf>
    <xf numFmtId="0" fontId="0" fillId="19" borderId="19" xfId="0" applyFill="1" applyBorder="1" applyAlignment="1" applyProtection="1">
      <alignment horizontal="center" vertical="center"/>
      <protection locked="0" hidden="1"/>
    </xf>
    <xf numFmtId="0" fontId="0" fillId="19" borderId="25" xfId="0" applyFill="1" applyBorder="1" applyAlignment="1" applyProtection="1">
      <alignment horizontal="center" vertical="center"/>
      <protection locked="0" hidden="1"/>
    </xf>
    <xf numFmtId="0" fontId="0" fillId="19" borderId="24" xfId="0" applyFill="1" applyBorder="1" applyAlignment="1" applyProtection="1">
      <alignment horizontal="center" vertical="center"/>
      <protection locked="0" hidden="1"/>
    </xf>
    <xf numFmtId="0" fontId="0" fillId="2" borderId="19" xfId="0" applyFill="1" applyBorder="1" applyAlignment="1" applyProtection="1">
      <alignment horizontal="center" vertical="center"/>
      <protection locked="0" hidden="1"/>
    </xf>
    <xf numFmtId="0" fontId="0" fillId="3" borderId="0" xfId="0" applyFill="1" applyBorder="1" applyAlignment="1" applyProtection="1">
      <alignment horizontal="center"/>
      <protection locked="0" hidden="1"/>
    </xf>
    <xf numFmtId="0" fontId="0" fillId="2" borderId="0" xfId="0" applyFill="1" applyBorder="1" applyAlignment="1" applyProtection="1">
      <alignment horizontal="center"/>
      <protection locked="0" hidden="1"/>
    </xf>
    <xf numFmtId="0" fontId="0" fillId="2" borderId="36" xfId="0" applyFill="1" applyBorder="1" applyAlignment="1" applyProtection="1">
      <alignment horizontal="center" vertical="center"/>
      <protection locked="0" hidden="1"/>
    </xf>
    <xf numFmtId="0" fontId="0" fillId="19" borderId="43" xfId="0" applyFill="1" applyBorder="1" applyAlignment="1" applyProtection="1">
      <alignment horizontal="center" vertical="center"/>
      <protection locked="0" hidden="1"/>
    </xf>
    <xf numFmtId="0" fontId="0" fillId="19" borderId="30" xfId="0" applyFill="1" applyBorder="1" applyAlignment="1" applyProtection="1">
      <alignment horizontal="center" vertical="center"/>
      <protection locked="0" hidden="1"/>
    </xf>
    <xf numFmtId="0" fontId="0" fillId="19" borderId="44" xfId="0" applyFill="1" applyBorder="1" applyAlignment="1" applyProtection="1">
      <alignment horizontal="center" vertical="center"/>
      <protection locked="0" hidden="1"/>
    </xf>
    <xf numFmtId="0" fontId="0" fillId="2" borderId="39" xfId="0" applyNumberFormat="1" applyFill="1" applyBorder="1" applyAlignment="1" applyProtection="1">
      <protection locked="0" hidden="1"/>
    </xf>
    <xf numFmtId="0" fontId="1" fillId="3" borderId="8" xfId="0" applyFont="1" applyFill="1" applyBorder="1" applyAlignment="1" applyProtection="1">
      <alignment vertical="center"/>
      <protection locked="0" hidden="1"/>
    </xf>
    <xf numFmtId="49" fontId="1" fillId="3" borderId="9" xfId="0" applyNumberFormat="1" applyFont="1" applyFill="1" applyBorder="1" applyAlignment="1" applyProtection="1">
      <alignment vertical="center"/>
      <protection locked="0" hidden="1"/>
    </xf>
    <xf numFmtId="0" fontId="1" fillId="3" borderId="9" xfId="0" applyFont="1" applyFill="1" applyBorder="1" applyAlignment="1" applyProtection="1">
      <alignment vertical="center"/>
      <protection locked="0" hidden="1"/>
    </xf>
    <xf numFmtId="0" fontId="1" fillId="3" borderId="10" xfId="0" applyFont="1" applyFill="1" applyBorder="1" applyAlignment="1" applyProtection="1">
      <alignment vertical="center"/>
      <protection locked="0" hidden="1"/>
    </xf>
    <xf numFmtId="0" fontId="2" fillId="7" borderId="14" xfId="0" applyFont="1" applyFill="1" applyBorder="1" applyAlignment="1" applyProtection="1">
      <alignment horizontal="center" vertical="center"/>
      <protection locked="0" hidden="1"/>
    </xf>
    <xf numFmtId="0" fontId="2" fillId="7" borderId="0" xfId="0" applyFont="1" applyFill="1" applyBorder="1" applyAlignment="1" applyProtection="1">
      <alignment horizontal="center" vertical="center"/>
      <protection locked="0" hidden="1"/>
    </xf>
    <xf numFmtId="2" fontId="0" fillId="0" borderId="33" xfId="0" applyNumberFormat="1" applyBorder="1" applyAlignment="1" applyProtection="1">
      <alignment horizontal="center" vertical="center"/>
      <protection locked="0" hidden="1"/>
    </xf>
    <xf numFmtId="2" fontId="0" fillId="0" borderId="40" xfId="0" applyNumberFormat="1" applyBorder="1" applyAlignment="1" applyProtection="1">
      <alignment horizontal="center" vertical="center"/>
      <protection locked="0" hidden="1"/>
    </xf>
    <xf numFmtId="2" fontId="7" fillId="2" borderId="21" xfId="0" applyNumberFormat="1" applyFont="1" applyFill="1" applyBorder="1" applyAlignment="1" applyProtection="1">
      <alignment horizontal="center"/>
      <protection locked="0" hidden="1"/>
    </xf>
    <xf numFmtId="0" fontId="7" fillId="2" borderId="31" xfId="0" applyNumberFormat="1" applyFont="1" applyFill="1" applyBorder="1" applyAlignment="1" applyProtection="1">
      <alignment horizontal="center"/>
      <protection locked="0" hidden="1"/>
    </xf>
    <xf numFmtId="0" fontId="8" fillId="3" borderId="32" xfId="0" applyFont="1" applyFill="1" applyBorder="1" applyAlignment="1" applyProtection="1">
      <alignment horizontal="center"/>
      <protection locked="0" hidden="1"/>
    </xf>
    <xf numFmtId="0" fontId="8" fillId="2" borderId="32" xfId="0" applyFont="1" applyFill="1" applyBorder="1" applyAlignment="1" applyProtection="1">
      <alignment horizontal="center"/>
      <protection locked="0" hidden="1"/>
    </xf>
    <xf numFmtId="0" fontId="0" fillId="2" borderId="0" xfId="0" applyFill="1" applyBorder="1" applyAlignment="1" applyProtection="1">
      <protection locked="0" hidden="1"/>
    </xf>
    <xf numFmtId="0" fontId="0" fillId="18" borderId="19" xfId="0" applyFill="1" applyBorder="1" applyAlignment="1" applyProtection="1">
      <alignment horizontal="center" vertical="center"/>
      <protection locked="0" hidden="1"/>
    </xf>
    <xf numFmtId="0" fontId="2" fillId="7" borderId="9" xfId="0" applyFont="1" applyFill="1" applyBorder="1" applyAlignment="1" applyProtection="1">
      <alignment horizontal="center" vertical="center"/>
      <protection locked="0" hidden="1"/>
    </xf>
    <xf numFmtId="2" fontId="7" fillId="2" borderId="19" xfId="0" applyNumberFormat="1" applyFont="1" applyFill="1" applyBorder="1" applyAlignment="1" applyProtection="1">
      <alignment horizontal="center"/>
      <protection locked="0" hidden="1"/>
    </xf>
    <xf numFmtId="0" fontId="8" fillId="2" borderId="12" xfId="0" applyFont="1" applyFill="1" applyBorder="1" applyAlignment="1" applyProtection="1">
      <alignment horizontal="center"/>
      <protection locked="0" hidden="1"/>
    </xf>
    <xf numFmtId="0" fontId="8" fillId="2" borderId="13" xfId="0" applyFont="1" applyFill="1" applyBorder="1" applyAlignment="1" applyProtection="1">
      <alignment horizontal="center"/>
      <protection locked="0" hidden="1"/>
    </xf>
    <xf numFmtId="0" fontId="8" fillId="3" borderId="0" xfId="0" applyFont="1" applyFill="1" applyBorder="1" applyAlignment="1" applyProtection="1">
      <alignment horizontal="center"/>
      <protection locked="0" hidden="1"/>
    </xf>
    <xf numFmtId="0" fontId="8" fillId="2" borderId="0" xfId="0" applyFont="1" applyFill="1" applyBorder="1" applyAlignment="1" applyProtection="1">
      <alignment horizontal="center"/>
      <protection locked="0" hidden="1"/>
    </xf>
    <xf numFmtId="0" fontId="4" fillId="8" borderId="15" xfId="0" applyFont="1" applyFill="1" applyBorder="1" applyAlignment="1" applyProtection="1">
      <alignment horizontal="center" vertical="center"/>
      <protection locked="0" hidden="1"/>
    </xf>
    <xf numFmtId="49" fontId="4" fillId="8" borderId="7" xfId="0" applyNumberFormat="1" applyFont="1" applyFill="1" applyBorder="1" applyAlignment="1" applyProtection="1">
      <alignment horizontal="center" vertical="center"/>
      <protection locked="0" hidden="1"/>
    </xf>
    <xf numFmtId="0" fontId="4" fillId="8" borderId="26" xfId="0" applyFont="1" applyFill="1" applyBorder="1" applyAlignment="1" applyProtection="1">
      <alignment horizontal="center" vertical="center"/>
      <protection locked="0" hidden="1"/>
    </xf>
    <xf numFmtId="0" fontId="4" fillId="8" borderId="16" xfId="0" applyFont="1" applyFill="1" applyBorder="1" applyAlignment="1" applyProtection="1">
      <alignment horizontal="center" vertical="center"/>
      <protection locked="0" hidden="1"/>
    </xf>
    <xf numFmtId="0" fontId="4" fillId="8" borderId="17" xfId="0" applyFont="1" applyFill="1" applyBorder="1" applyAlignment="1" applyProtection="1">
      <alignment horizontal="center" vertical="center"/>
      <protection locked="0" hidden="1"/>
    </xf>
    <xf numFmtId="0" fontId="4" fillId="8" borderId="18" xfId="0" applyFont="1" applyFill="1" applyBorder="1" applyAlignment="1" applyProtection="1">
      <alignment horizontal="center" vertical="center"/>
      <protection locked="0" hidden="1"/>
    </xf>
    <xf numFmtId="0" fontId="4" fillId="3" borderId="41" xfId="0" applyFont="1" applyFill="1" applyBorder="1" applyAlignment="1" applyProtection="1">
      <alignment horizontal="left" vertical="center"/>
      <protection locked="0" hidden="1"/>
    </xf>
    <xf numFmtId="0" fontId="4" fillId="3" borderId="42" xfId="0" applyFont="1" applyFill="1" applyBorder="1" applyAlignment="1" applyProtection="1">
      <alignment horizontal="left" vertical="center"/>
      <protection locked="0" hidden="1"/>
    </xf>
    <xf numFmtId="0" fontId="0" fillId="2" borderId="0" xfId="0" applyFill="1" applyBorder="1" applyAlignment="1" applyProtection="1">
      <alignment horizontal="center" vertical="center"/>
      <protection locked="0" hidden="1"/>
    </xf>
    <xf numFmtId="0" fontId="2" fillId="4" borderId="45" xfId="0" applyFont="1" applyFill="1" applyBorder="1" applyAlignment="1" applyProtection="1">
      <alignment horizontal="center" vertical="center"/>
      <protection locked="0" hidden="1"/>
    </xf>
    <xf numFmtId="0" fontId="14" fillId="14" borderId="2" xfId="6" applyBorder="1" applyAlignment="1" applyProtection="1">
      <alignment horizontal="center" vertical="center"/>
      <protection locked="0" hidden="1"/>
    </xf>
    <xf numFmtId="0" fontId="4" fillId="3" borderId="46" xfId="0" applyFont="1" applyFill="1" applyBorder="1" applyAlignment="1" applyProtection="1">
      <alignment horizontal="center" vertical="center"/>
      <protection locked="0" hidden="1"/>
    </xf>
    <xf numFmtId="0" fontId="4" fillId="3" borderId="11" xfId="0" applyFont="1" applyFill="1" applyBorder="1" applyAlignment="1" applyProtection="1">
      <alignment horizontal="left" vertical="center"/>
      <protection locked="0" hidden="1"/>
    </xf>
    <xf numFmtId="0" fontId="4" fillId="3" borderId="12" xfId="0" applyFont="1" applyFill="1" applyBorder="1" applyAlignment="1" applyProtection="1">
      <alignment horizontal="left" vertical="center"/>
      <protection locked="0" hidden="1"/>
    </xf>
    <xf numFmtId="0" fontId="2" fillId="5" borderId="15" xfId="0" applyFont="1" applyFill="1" applyBorder="1" applyAlignment="1" applyProtection="1">
      <alignment horizontal="center" vertical="center"/>
      <protection locked="0" hidden="1"/>
    </xf>
    <xf numFmtId="0" fontId="4" fillId="3" borderId="18" xfId="0" applyFont="1" applyFill="1" applyBorder="1" applyAlignment="1" applyProtection="1">
      <alignment horizontal="center" vertical="center"/>
      <protection locked="0" hidden="1"/>
    </xf>
    <xf numFmtId="0" fontId="4" fillId="3" borderId="41" xfId="0" applyFont="1" applyFill="1" applyBorder="1" applyAlignment="1" applyProtection="1">
      <alignment horizontal="center" vertical="center"/>
      <protection locked="0" hidden="1"/>
    </xf>
    <xf numFmtId="0" fontId="4" fillId="3" borderId="9" xfId="0" applyFont="1" applyFill="1" applyBorder="1" applyAlignment="1" applyProtection="1">
      <alignment horizontal="center" vertical="center"/>
      <protection locked="0" hidden="1"/>
    </xf>
    <xf numFmtId="0" fontId="4" fillId="3" borderId="9" xfId="0" applyNumberFormat="1" applyFont="1" applyFill="1" applyBorder="1" applyAlignment="1" applyProtection="1">
      <alignment horizontal="center" vertical="center"/>
      <protection locked="0" hidden="1"/>
    </xf>
    <xf numFmtId="0" fontId="4" fillId="9" borderId="17" xfId="0" applyFont="1" applyFill="1" applyBorder="1" applyAlignment="1" applyProtection="1">
      <alignment horizontal="center" vertical="center"/>
      <protection locked="0" hidden="1"/>
    </xf>
    <xf numFmtId="0" fontId="4" fillId="9" borderId="9" xfId="0" applyFont="1" applyFill="1" applyBorder="1" applyAlignment="1" applyProtection="1">
      <alignment horizontal="center" vertical="center"/>
      <protection locked="0" hidden="1"/>
    </xf>
    <xf numFmtId="0" fontId="4" fillId="3" borderId="29" xfId="0" applyFont="1" applyFill="1" applyBorder="1" applyAlignment="1" applyProtection="1">
      <alignment horizontal="center" vertical="center"/>
      <protection locked="0" hidden="1"/>
    </xf>
    <xf numFmtId="0" fontId="4" fillId="9" borderId="29" xfId="0" applyFont="1" applyFill="1" applyBorder="1" applyAlignment="1" applyProtection="1">
      <alignment horizontal="center" vertical="center"/>
      <protection locked="0" hidden="1"/>
    </xf>
    <xf numFmtId="0" fontId="4" fillId="2" borderId="0" xfId="0" applyFont="1" applyFill="1" applyBorder="1" applyAlignment="1" applyProtection="1">
      <alignment horizontal="center" vertical="center"/>
      <protection locked="0" hidden="1"/>
    </xf>
    <xf numFmtId="0" fontId="0" fillId="10" borderId="20" xfId="0" applyFill="1" applyBorder="1" applyAlignment="1" applyProtection="1">
      <protection locked="0" hidden="1"/>
    </xf>
    <xf numFmtId="0" fontId="0" fillId="2" borderId="28" xfId="0" applyNumberFormat="1" applyFill="1" applyBorder="1" applyAlignment="1" applyProtection="1">
      <alignment horizontal="right"/>
      <protection locked="0" hidden="1"/>
    </xf>
    <xf numFmtId="0" fontId="0" fillId="11" borderId="27" xfId="0" applyFill="1" applyBorder="1" applyAlignment="1" applyProtection="1">
      <alignment horizontal="left"/>
      <protection locked="0" hidden="1"/>
    </xf>
    <xf numFmtId="0" fontId="0" fillId="11" borderId="27" xfId="0" applyFill="1" applyBorder="1" applyAlignment="1" applyProtection="1">
      <alignment horizontal="center"/>
      <protection locked="0" hidden="1"/>
    </xf>
    <xf numFmtId="0" fontId="0" fillId="11" borderId="21" xfId="0" applyFill="1" applyBorder="1" applyAlignment="1" applyProtection="1">
      <protection locked="0" hidden="1"/>
    </xf>
    <xf numFmtId="0" fontId="0" fillId="11" borderId="21" xfId="0" applyFill="1" applyBorder="1" applyAlignment="1" applyProtection="1">
      <alignment horizontal="center"/>
      <protection locked="0" hidden="1"/>
    </xf>
    <xf numFmtId="0" fontId="5" fillId="11" borderId="22" xfId="0" applyFont="1" applyFill="1" applyBorder="1" applyAlignment="1" applyProtection="1">
      <alignment horizontal="center" vertical="center"/>
      <protection locked="0" hidden="1"/>
    </xf>
    <xf numFmtId="0" fontId="0" fillId="11" borderId="23" xfId="0" applyFill="1" applyBorder="1" applyAlignment="1" applyProtection="1">
      <protection locked="0" hidden="1"/>
    </xf>
    <xf numFmtId="0" fontId="0" fillId="0" borderId="20" xfId="0" applyBorder="1" applyAlignment="1" applyProtection="1">
      <alignment horizontal="center" vertical="center"/>
      <protection locked="0" hidden="1"/>
    </xf>
    <xf numFmtId="0" fontId="0" fillId="0" borderId="21" xfId="0" applyBorder="1" applyAlignment="1" applyProtection="1">
      <alignment horizontal="center" vertical="center"/>
      <protection locked="0" hidden="1"/>
    </xf>
    <xf numFmtId="0" fontId="0" fillId="0" borderId="23" xfId="0" applyBorder="1" applyAlignment="1" applyProtection="1">
      <alignment horizontal="center" vertical="center"/>
      <protection locked="0" hidden="1"/>
    </xf>
    <xf numFmtId="2" fontId="0" fillId="13" borderId="0" xfId="0" applyNumberFormat="1" applyFill="1" applyBorder="1" applyAlignment="1" applyProtection="1">
      <alignment horizontal="center" vertical="center"/>
      <protection locked="0" hidden="1"/>
    </xf>
    <xf numFmtId="2" fontId="0" fillId="13" borderId="0" xfId="0" applyNumberFormat="1" applyFill="1" applyBorder="1" applyAlignment="1" applyProtection="1">
      <alignment horizontal="center" vertical="center" wrapText="1"/>
      <protection locked="0" hidden="1"/>
    </xf>
    <xf numFmtId="2" fontId="0" fillId="6" borderId="0" xfId="0" applyNumberFormat="1" applyFill="1" applyBorder="1" applyAlignment="1" applyProtection="1">
      <alignment horizontal="center" vertical="center"/>
      <protection locked="0" hidden="1"/>
    </xf>
    <xf numFmtId="0" fontId="0" fillId="6" borderId="19" xfId="0" applyFill="1" applyBorder="1" applyAlignment="1" applyProtection="1">
      <alignment horizontal="center"/>
      <protection locked="0" hidden="1"/>
    </xf>
    <xf numFmtId="2" fontId="2" fillId="10" borderId="19" xfId="0" applyNumberFormat="1" applyFont="1" applyFill="1" applyBorder="1" applyAlignment="1" applyProtection="1">
      <alignment horizontal="center"/>
      <protection locked="0" hidden="1"/>
    </xf>
    <xf numFmtId="164" fontId="4" fillId="15" borderId="22" xfId="0" applyNumberFormat="1" applyFont="1" applyFill="1" applyBorder="1" applyAlignment="1" applyProtection="1">
      <alignment horizontal="center"/>
      <protection locked="0" hidden="1"/>
    </xf>
    <xf numFmtId="2" fontId="5" fillId="2" borderId="22" xfId="0" applyNumberFormat="1" applyFont="1" applyFill="1" applyBorder="1" applyAlignment="1" applyProtection="1">
      <alignment horizontal="center"/>
      <protection locked="0" hidden="1"/>
    </xf>
    <xf numFmtId="0" fontId="8" fillId="10" borderId="22" xfId="0" applyNumberFormat="1" applyFont="1" applyFill="1" applyBorder="1" applyAlignment="1" applyProtection="1">
      <alignment horizontal="center"/>
      <protection locked="0" hidden="1"/>
    </xf>
    <xf numFmtId="0" fontId="0" fillId="2" borderId="22" xfId="0" applyFill="1" applyBorder="1" applyAlignment="1" applyProtection="1">
      <protection locked="0" hidden="1"/>
    </xf>
    <xf numFmtId="0" fontId="0" fillId="2" borderId="34" xfId="0" applyFill="1" applyBorder="1" applyAlignment="1" applyProtection="1">
      <protection locked="0" hidden="1"/>
    </xf>
    <xf numFmtId="0" fontId="0" fillId="2" borderId="34" xfId="0" applyFill="1" applyBorder="1" applyAlignment="1" applyProtection="1">
      <alignment horizontal="center"/>
      <protection locked="0" hidden="1"/>
    </xf>
    <xf numFmtId="0" fontId="0" fillId="3" borderId="34" xfId="0" applyFill="1" applyBorder="1" applyAlignment="1" applyProtection="1">
      <alignment horizontal="center"/>
      <protection locked="0" hidden="1"/>
    </xf>
    <xf numFmtId="9" fontId="0" fillId="2" borderId="21" xfId="7" applyFont="1" applyFill="1" applyBorder="1" applyAlignment="1" applyProtection="1">
      <alignment horizontal="center"/>
      <protection locked="0" hidden="1"/>
    </xf>
    <xf numFmtId="9" fontId="0" fillId="2" borderId="34" xfId="7" applyFont="1" applyFill="1" applyBorder="1" applyAlignment="1" applyProtection="1">
      <alignment horizontal="center"/>
      <protection locked="0" hidden="1"/>
    </xf>
    <xf numFmtId="49" fontId="0" fillId="2" borderId="0" xfId="0" applyNumberFormat="1" applyFill="1" applyProtection="1">
      <protection locked="0" hidden="1"/>
    </xf>
    <xf numFmtId="0" fontId="8" fillId="2" borderId="33" xfId="0" applyFont="1" applyFill="1" applyBorder="1" applyAlignment="1" applyProtection="1">
      <alignment horizontal="center"/>
      <protection locked="0" hidden="1"/>
    </xf>
    <xf numFmtId="0" fontId="0" fillId="2" borderId="33" xfId="0" applyFill="1" applyBorder="1" applyAlignment="1" applyProtection="1">
      <alignment horizontal="center"/>
      <protection locked="0" hidden="1"/>
    </xf>
    <xf numFmtId="0" fontId="8" fillId="2" borderId="32" xfId="0" applyFont="1" applyFill="1" applyBorder="1" applyAlignment="1" applyProtection="1">
      <alignment horizontal="right"/>
      <protection locked="0" hidden="1"/>
    </xf>
    <xf numFmtId="0" fontId="5" fillId="2" borderId="19" xfId="1" applyFill="1" applyBorder="1" applyAlignment="1" applyProtection="1">
      <alignment horizontal="center"/>
      <protection locked="0" hidden="1"/>
    </xf>
    <xf numFmtId="0" fontId="28" fillId="2" borderId="0" xfId="0" applyFont="1" applyFill="1" applyBorder="1" applyAlignment="1" applyProtection="1">
      <protection locked="0" hidden="1"/>
    </xf>
    <xf numFmtId="0" fontId="15" fillId="2" borderId="19" xfId="0" applyFont="1" applyFill="1" applyBorder="1" applyAlignment="1" applyProtection="1">
      <alignment horizontal="center"/>
      <protection locked="0" hidden="1"/>
    </xf>
    <xf numFmtId="0" fontId="0" fillId="0" borderId="0" xfId="0" applyProtection="1">
      <protection locked="0" hidden="1"/>
    </xf>
    <xf numFmtId="0" fontId="0" fillId="0" borderId="0" xfId="0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left"/>
      <protection locked="0" hidden="1"/>
    </xf>
    <xf numFmtId="0" fontId="22" fillId="2" borderId="21" xfId="0" applyFont="1" applyFill="1" applyBorder="1" applyAlignment="1" applyProtection="1">
      <alignment horizontal="center" vertical="center"/>
      <protection locked="0" hidden="1"/>
    </xf>
    <xf numFmtId="0" fontId="22" fillId="2" borderId="19" xfId="6" applyFont="1" applyFill="1" applyBorder="1" applyAlignment="1" applyProtection="1">
      <alignment horizontal="center"/>
      <protection locked="0" hidden="1"/>
    </xf>
    <xf numFmtId="0" fontId="22" fillId="2" borderId="19" xfId="0" applyFont="1" applyFill="1" applyBorder="1" applyAlignment="1" applyProtection="1">
      <alignment vertical="center"/>
      <protection locked="0" hidden="1"/>
    </xf>
    <xf numFmtId="164" fontId="22" fillId="2" borderId="19" xfId="0" applyNumberFormat="1" applyFont="1" applyFill="1" applyBorder="1" applyAlignment="1" applyProtection="1">
      <alignment horizontal="center" vertical="center"/>
      <protection locked="0" hidden="1"/>
    </xf>
    <xf numFmtId="0" fontId="22" fillId="2" borderId="19" xfId="0" applyNumberFormat="1" applyFont="1" applyFill="1" applyBorder="1" applyAlignment="1" applyProtection="1">
      <alignment horizontal="center" vertical="center"/>
      <protection locked="0" hidden="1"/>
    </xf>
    <xf numFmtId="2" fontId="22" fillId="2" borderId="19" xfId="0" applyNumberFormat="1" applyFont="1" applyFill="1" applyBorder="1" applyAlignment="1" applyProtection="1">
      <alignment horizontal="center" vertical="center"/>
      <protection locked="0" hidden="1"/>
    </xf>
    <xf numFmtId="0" fontId="22" fillId="2" borderId="19" xfId="0" applyFont="1" applyFill="1" applyBorder="1" applyAlignment="1" applyProtection="1">
      <alignment horizontal="center" vertical="center"/>
      <protection locked="0" hidden="1"/>
    </xf>
    <xf numFmtId="0" fontId="17" fillId="2" borderId="19" xfId="0" applyFont="1" applyFill="1" applyBorder="1" applyAlignment="1" applyProtection="1">
      <alignment horizontal="left" vertical="center"/>
      <protection locked="0" hidden="1"/>
    </xf>
    <xf numFmtId="0" fontId="15" fillId="2" borderId="0" xfId="0" applyFont="1" applyFill="1" applyAlignment="1" applyProtection="1">
      <alignment horizontal="center"/>
      <protection locked="0" hidden="1"/>
    </xf>
    <xf numFmtId="0" fontId="12" fillId="2" borderId="37" xfId="4" applyFill="1" applyAlignment="1" applyProtection="1">
      <protection locked="0" hidden="1"/>
    </xf>
    <xf numFmtId="0" fontId="24" fillId="2" borderId="29" xfId="0" applyFont="1" applyFill="1" applyBorder="1" applyAlignment="1" applyProtection="1">
      <protection locked="0" hidden="1"/>
    </xf>
    <xf numFmtId="0" fontId="31" fillId="2" borderId="0" xfId="0" applyFont="1" applyFill="1" applyProtection="1">
      <protection locked="0" hidden="1"/>
    </xf>
    <xf numFmtId="0" fontId="24" fillId="2" borderId="0" xfId="0" applyFont="1" applyFill="1" applyBorder="1" applyAlignment="1" applyProtection="1">
      <protection locked="0" hidden="1"/>
    </xf>
    <xf numFmtId="0" fontId="36" fillId="16" borderId="21" xfId="1" applyFont="1" applyFill="1" applyBorder="1" applyAlignment="1" applyProtection="1">
      <alignment horizontal="center" vertical="center"/>
      <protection locked="0" hidden="1"/>
    </xf>
    <xf numFmtId="0" fontId="4" fillId="17" borderId="21" xfId="1" applyFont="1" applyFill="1" applyBorder="1" applyAlignment="1" applyProtection="1">
      <alignment horizontal="center" vertical="center" wrapText="1"/>
      <protection locked="0" hidden="1"/>
    </xf>
    <xf numFmtId="0" fontId="4" fillId="17" borderId="19" xfId="1" applyFont="1" applyFill="1" applyBorder="1" applyAlignment="1" applyProtection="1">
      <alignment horizontal="center" vertical="center" wrapText="1"/>
      <protection locked="0" hidden="1"/>
    </xf>
    <xf numFmtId="0" fontId="4" fillId="15" borderId="21" xfId="1" applyFont="1" applyFill="1" applyBorder="1" applyAlignment="1" applyProtection="1">
      <alignment horizontal="center" vertical="center" wrapText="1"/>
      <protection locked="0" hidden="1"/>
    </xf>
    <xf numFmtId="0" fontId="38" fillId="22" borderId="19" xfId="0" applyFont="1" applyFill="1" applyBorder="1" applyAlignment="1" applyProtection="1">
      <alignment horizontal="center" vertical="center" wrapText="1"/>
      <protection locked="0" hidden="1"/>
    </xf>
    <xf numFmtId="0" fontId="37" fillId="2" borderId="19" xfId="1" applyFont="1" applyFill="1" applyBorder="1" applyProtection="1">
      <protection locked="0" hidden="1"/>
    </xf>
    <xf numFmtId="0" fontId="5" fillId="21" borderId="19" xfId="1" applyFill="1" applyBorder="1" applyAlignment="1" applyProtection="1">
      <alignment horizontal="center"/>
      <protection locked="0" hidden="1"/>
    </xf>
    <xf numFmtId="0" fontId="5" fillId="7" borderId="19" xfId="1" applyFill="1" applyBorder="1" applyAlignment="1" applyProtection="1">
      <alignment horizontal="center"/>
      <protection locked="0" hidden="1"/>
    </xf>
    <xf numFmtId="0" fontId="31" fillId="20" borderId="19" xfId="0" applyFont="1" applyFill="1" applyBorder="1" applyAlignment="1" applyProtection="1">
      <alignment horizontal="center" vertical="center"/>
      <protection locked="0" hidden="1"/>
    </xf>
    <xf numFmtId="0" fontId="15" fillId="21" borderId="19" xfId="0" applyFont="1" applyFill="1" applyBorder="1" applyAlignment="1" applyProtection="1">
      <alignment horizontal="center"/>
      <protection locked="0" hidden="1"/>
    </xf>
    <xf numFmtId="2" fontId="38" fillId="22" borderId="19" xfId="0" applyNumberFormat="1" applyFont="1" applyFill="1" applyBorder="1" applyAlignment="1" applyProtection="1">
      <alignment horizontal="center"/>
      <protection locked="0" hidden="1"/>
    </xf>
    <xf numFmtId="0" fontId="33" fillId="2" borderId="0" xfId="0" applyFont="1" applyFill="1" applyProtection="1">
      <protection locked="0" hidden="1"/>
    </xf>
    <xf numFmtId="0" fontId="22" fillId="2" borderId="19" xfId="0" applyNumberFormat="1" applyFont="1" applyFill="1" applyBorder="1" applyAlignment="1" applyProtection="1">
      <alignment horizontal="left" vertical="center"/>
      <protection locked="0" hidden="1"/>
    </xf>
    <xf numFmtId="0" fontId="23" fillId="2" borderId="19" xfId="6" applyFont="1" applyFill="1" applyBorder="1" applyAlignment="1" applyProtection="1">
      <alignment horizontal="center"/>
      <protection locked="0" hidden="1"/>
    </xf>
    <xf numFmtId="0" fontId="4" fillId="17" borderId="34" xfId="1" applyFont="1" applyFill="1" applyBorder="1" applyAlignment="1" applyProtection="1">
      <alignment horizontal="center" vertical="center" wrapText="1"/>
      <protection locked="0" hidden="1"/>
    </xf>
    <xf numFmtId="0" fontId="5" fillId="2" borderId="22" xfId="1" applyFill="1" applyBorder="1" applyAlignment="1" applyProtection="1">
      <alignment horizontal="center"/>
      <protection locked="0" hidden="1"/>
    </xf>
    <xf numFmtId="0" fontId="15" fillId="2" borderId="22" xfId="0" applyFont="1" applyFill="1" applyBorder="1" applyAlignment="1" applyProtection="1">
      <alignment horizontal="center"/>
      <protection locked="0" hidden="1"/>
    </xf>
    <xf numFmtId="0" fontId="4" fillId="17" borderId="27" xfId="1" applyFont="1" applyFill="1" applyBorder="1" applyAlignment="1" applyProtection="1">
      <alignment horizontal="center" vertical="center" wrapText="1"/>
      <protection locked="0" hidden="1"/>
    </xf>
    <xf numFmtId="0" fontId="5" fillId="2" borderId="31" xfId="1" applyFill="1" applyBorder="1" applyAlignment="1" applyProtection="1">
      <alignment horizontal="center"/>
      <protection locked="0" hidden="1"/>
    </xf>
    <xf numFmtId="0" fontId="15" fillId="2" borderId="31" xfId="0" applyFont="1" applyFill="1" applyBorder="1" applyAlignment="1" applyProtection="1">
      <alignment horizontal="center"/>
      <protection locked="0" hidden="1"/>
    </xf>
    <xf numFmtId="0" fontId="5" fillId="2" borderId="49" xfId="1" applyFill="1" applyBorder="1" applyAlignment="1" applyProtection="1">
      <alignment horizontal="center"/>
      <protection locked="0" hidden="1"/>
    </xf>
    <xf numFmtId="0" fontId="5" fillId="2" borderId="48" xfId="1" applyFill="1" applyBorder="1" applyAlignment="1" applyProtection="1">
      <alignment horizontal="center"/>
      <protection locked="0" hidden="1"/>
    </xf>
    <xf numFmtId="0" fontId="5" fillId="2" borderId="50" xfId="1" applyFill="1" applyBorder="1" applyAlignment="1" applyProtection="1">
      <alignment horizontal="center"/>
      <protection locked="0" hidden="1"/>
    </xf>
    <xf numFmtId="0" fontId="15" fillId="2" borderId="49" xfId="0" applyFont="1" applyFill="1" applyBorder="1" applyAlignment="1" applyProtection="1">
      <alignment horizontal="center"/>
      <protection locked="0" hidden="1"/>
    </xf>
    <xf numFmtId="0" fontId="2" fillId="23" borderId="15" xfId="0" applyFont="1" applyFill="1" applyBorder="1" applyAlignment="1" applyProtection="1">
      <alignment horizontal="center" vertical="center"/>
      <protection locked="0" hidden="1"/>
    </xf>
    <xf numFmtId="0" fontId="2" fillId="24" borderId="45" xfId="0" applyFont="1" applyFill="1" applyBorder="1" applyAlignment="1" applyProtection="1">
      <alignment horizontal="center" vertical="center"/>
      <protection locked="0" hidden="1"/>
    </xf>
    <xf numFmtId="0" fontId="0" fillId="25" borderId="29" xfId="0" applyFill="1" applyBorder="1" applyAlignment="1" applyProtection="1">
      <alignment horizontal="center"/>
      <protection locked="0" hidden="1"/>
    </xf>
    <xf numFmtId="0" fontId="26" fillId="9" borderId="7" xfId="0" applyFont="1" applyFill="1" applyBorder="1" applyAlignment="1" applyProtection="1">
      <alignment horizontal="center"/>
      <protection locked="0" hidden="1"/>
    </xf>
    <xf numFmtId="0" fontId="36" fillId="16" borderId="27" xfId="1" applyFont="1" applyFill="1" applyBorder="1" applyAlignment="1" applyProtection="1">
      <alignment horizontal="center" vertical="center"/>
      <protection locked="0" hidden="1"/>
    </xf>
    <xf numFmtId="0" fontId="37" fillId="2" borderId="31" xfId="1" applyFont="1" applyFill="1" applyBorder="1" applyProtection="1">
      <protection locked="0" hidden="1"/>
    </xf>
    <xf numFmtId="0" fontId="4" fillId="9" borderId="21" xfId="1" applyFont="1" applyFill="1" applyBorder="1" applyAlignment="1" applyProtection="1">
      <alignment horizontal="center" vertical="center"/>
      <protection locked="0" hidden="1"/>
    </xf>
    <xf numFmtId="0" fontId="31" fillId="2" borderId="0" xfId="0" applyFont="1" applyFill="1" applyAlignment="1" applyProtection="1">
      <alignment vertical="center"/>
      <protection locked="0" hidden="1"/>
    </xf>
    <xf numFmtId="9" fontId="22" fillId="2" borderId="21" xfId="7" applyFont="1" applyFill="1" applyBorder="1" applyAlignment="1" applyProtection="1">
      <alignment horizontal="center" vertical="center"/>
      <protection locked="0" hidden="1"/>
    </xf>
    <xf numFmtId="9" fontId="22" fillId="2" borderId="19" xfId="7" applyFont="1" applyFill="1" applyBorder="1" applyAlignment="1" applyProtection="1">
      <alignment horizontal="center" vertical="center"/>
      <protection locked="0" hidden="1"/>
    </xf>
    <xf numFmtId="0" fontId="30" fillId="21" borderId="40" xfId="0" applyFont="1" applyFill="1" applyBorder="1" applyAlignment="1" applyProtection="1">
      <alignment horizontal="center"/>
      <protection locked="0" hidden="1"/>
    </xf>
    <xf numFmtId="0" fontId="5" fillId="2" borderId="19" xfId="1" applyNumberFormat="1" applyFill="1" applyBorder="1" applyAlignment="1" applyProtection="1">
      <alignment horizontal="center"/>
      <protection locked="0" hidden="1"/>
    </xf>
    <xf numFmtId="0" fontId="5" fillId="2" borderId="21" xfId="1" applyNumberFormat="1" applyFill="1" applyBorder="1" applyAlignment="1" applyProtection="1">
      <alignment horizontal="center"/>
      <protection locked="0" hidden="1"/>
    </xf>
    <xf numFmtId="0" fontId="5" fillId="2" borderId="30" xfId="1" applyNumberFormat="1" applyFill="1" applyBorder="1" applyAlignment="1" applyProtection="1">
      <alignment horizontal="center"/>
      <protection locked="0" hidden="1"/>
    </xf>
    <xf numFmtId="0" fontId="43" fillId="17" borderId="47" xfId="1" applyFont="1" applyFill="1" applyBorder="1" applyAlignment="1" applyProtection="1">
      <alignment horizontal="center" vertical="center" wrapText="1"/>
      <protection locked="0" hidden="1"/>
    </xf>
    <xf numFmtId="0" fontId="31" fillId="2" borderId="52" xfId="0" applyFont="1" applyFill="1" applyBorder="1" applyProtection="1">
      <protection locked="0" hidden="1"/>
    </xf>
    <xf numFmtId="0" fontId="31" fillId="2" borderId="28" xfId="0" applyFont="1" applyFill="1" applyBorder="1" applyAlignment="1" applyProtection="1">
      <alignment horizontal="center"/>
      <protection locked="0" hidden="1"/>
    </xf>
    <xf numFmtId="0" fontId="31" fillId="27" borderId="50" xfId="0" applyFont="1" applyFill="1" applyBorder="1" applyAlignment="1" applyProtection="1">
      <alignment horizontal="center"/>
      <protection locked="0" hidden="1"/>
    </xf>
    <xf numFmtId="0" fontId="31" fillId="27" borderId="28" xfId="0" applyFont="1" applyFill="1" applyBorder="1" applyAlignment="1" applyProtection="1">
      <alignment horizontal="center"/>
      <protection locked="0" hidden="1"/>
    </xf>
    <xf numFmtId="0" fontId="31" fillId="27" borderId="53" xfId="0" applyFont="1" applyFill="1" applyBorder="1" applyAlignment="1" applyProtection="1">
      <alignment horizontal="center"/>
      <protection locked="0" hidden="1"/>
    </xf>
    <xf numFmtId="0" fontId="26" fillId="24" borderId="51" xfId="0" applyFont="1" applyFill="1" applyBorder="1" applyAlignment="1" applyProtection="1">
      <alignment horizontal="center"/>
      <protection locked="0" hidden="1"/>
    </xf>
    <xf numFmtId="0" fontId="44" fillId="12" borderId="30" xfId="0" applyFont="1" applyFill="1" applyBorder="1" applyAlignment="1" applyProtection="1">
      <alignment horizontal="center" vertical="center"/>
      <protection locked="0" hidden="1"/>
    </xf>
    <xf numFmtId="0" fontId="44" fillId="24" borderId="30" xfId="0" applyFont="1" applyFill="1" applyBorder="1" applyAlignment="1" applyProtection="1">
      <alignment horizontal="center" vertical="center"/>
      <protection locked="0" hidden="1"/>
    </xf>
    <xf numFmtId="0" fontId="44" fillId="23" borderId="30" xfId="0" applyFont="1" applyFill="1" applyBorder="1" applyAlignment="1" applyProtection="1">
      <alignment horizontal="center" vertical="center"/>
      <protection locked="0" hidden="1"/>
    </xf>
    <xf numFmtId="0" fontId="44" fillId="9" borderId="30" xfId="0" applyFont="1" applyFill="1" applyBorder="1" applyAlignment="1" applyProtection="1">
      <alignment horizontal="center" vertical="center"/>
      <protection locked="0" hidden="1"/>
    </xf>
    <xf numFmtId="0" fontId="44" fillId="12" borderId="47" xfId="0" applyFont="1" applyFill="1" applyBorder="1" applyAlignment="1" applyProtection="1">
      <alignment horizontal="center" vertical="center"/>
      <protection locked="0" hidden="1"/>
    </xf>
    <xf numFmtId="0" fontId="44" fillId="12" borderId="21" xfId="0" applyFont="1" applyFill="1" applyBorder="1" applyAlignment="1" applyProtection="1">
      <alignment horizontal="center"/>
      <protection locked="0" hidden="1"/>
    </xf>
    <xf numFmtId="0" fontId="44" fillId="21" borderId="15" xfId="0" applyFont="1" applyFill="1" applyBorder="1" applyAlignment="1" applyProtection="1">
      <alignment horizontal="center" vertical="center"/>
      <protection locked="0" hidden="1"/>
    </xf>
    <xf numFmtId="0" fontId="44" fillId="9" borderId="18" xfId="0" applyFont="1" applyFill="1" applyBorder="1" applyAlignment="1" applyProtection="1">
      <alignment horizontal="center" vertical="center"/>
      <protection locked="0" hidden="1"/>
    </xf>
    <xf numFmtId="0" fontId="44" fillId="24" borderId="14" xfId="0" applyFont="1" applyFill="1" applyBorder="1" applyAlignment="1" applyProtection="1">
      <alignment horizontal="center" vertical="center"/>
      <protection locked="0" hidden="1"/>
    </xf>
    <xf numFmtId="0" fontId="45" fillId="18" borderId="30" xfId="0" applyFont="1" applyFill="1" applyBorder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6" fillId="3" borderId="0" xfId="0" applyFont="1" applyFill="1"/>
    <xf numFmtId="0" fontId="31" fillId="2" borderId="7" xfId="0" applyFont="1" applyFill="1" applyBorder="1" applyAlignment="1" applyProtection="1">
      <protection locked="0" hidden="1"/>
    </xf>
    <xf numFmtId="0" fontId="31" fillId="2" borderId="0" xfId="0" applyFont="1" applyFill="1" applyAlignment="1" applyProtection="1">
      <alignment horizontal="center"/>
      <protection locked="0" hidden="1"/>
    </xf>
    <xf numFmtId="0" fontId="31" fillId="2" borderId="22" xfId="0" applyFont="1" applyFill="1" applyBorder="1" applyAlignment="1" applyProtection="1">
      <alignment horizontal="center"/>
      <protection locked="0" hidden="1"/>
    </xf>
    <xf numFmtId="0" fontId="5" fillId="7" borderId="22" xfId="1" applyFill="1" applyBorder="1" applyAlignment="1" applyProtection="1">
      <alignment horizontal="center"/>
      <protection locked="0" hidden="1"/>
    </xf>
    <xf numFmtId="0" fontId="31" fillId="2" borderId="33" xfId="0" applyFont="1" applyFill="1" applyBorder="1" applyAlignment="1" applyProtection="1">
      <alignment horizontal="center"/>
      <protection locked="0" hidden="1"/>
    </xf>
    <xf numFmtId="0" fontId="5" fillId="18" borderId="19" xfId="1" applyFill="1" applyBorder="1" applyAlignment="1" applyProtection="1">
      <alignment horizontal="center"/>
      <protection locked="0" hidden="1"/>
    </xf>
    <xf numFmtId="0" fontId="5" fillId="2" borderId="21" xfId="1" applyNumberFormat="1" applyFill="1" applyBorder="1" applyAlignment="1" applyProtection="1">
      <alignment horizontal="center"/>
      <protection hidden="1"/>
    </xf>
    <xf numFmtId="0" fontId="5" fillId="2" borderId="19" xfId="1" applyNumberFormat="1" applyFill="1" applyBorder="1" applyAlignment="1" applyProtection="1">
      <alignment horizontal="center"/>
      <protection hidden="1"/>
    </xf>
    <xf numFmtId="0" fontId="5" fillId="2" borderId="30" xfId="1" applyNumberFormat="1" applyFill="1" applyBorder="1" applyAlignment="1" applyProtection="1">
      <alignment horizontal="center"/>
      <protection hidden="1"/>
    </xf>
    <xf numFmtId="0" fontId="2" fillId="7" borderId="40" xfId="0" applyFont="1" applyFill="1" applyBorder="1" applyAlignment="1" applyProtection="1">
      <alignment horizontal="center" vertical="center"/>
      <protection locked="0" hidden="1"/>
    </xf>
    <xf numFmtId="2" fontId="7" fillId="2" borderId="16" xfId="0" applyNumberFormat="1" applyFont="1" applyFill="1" applyBorder="1" applyAlignment="1" applyProtection="1">
      <alignment horizontal="center"/>
      <protection locked="0" hidden="1"/>
    </xf>
    <xf numFmtId="2" fontId="7" fillId="2" borderId="18" xfId="0" applyNumberFormat="1" applyFont="1" applyFill="1" applyBorder="1" applyAlignment="1" applyProtection="1">
      <alignment horizontal="center"/>
      <protection locked="0" hidden="1"/>
    </xf>
    <xf numFmtId="0" fontId="14" fillId="14" borderId="0" xfId="6" applyBorder="1" applyAlignment="1" applyProtection="1">
      <alignment horizontal="center" vertical="center"/>
      <protection locked="0" hidden="1"/>
    </xf>
    <xf numFmtId="0" fontId="4" fillId="3" borderId="54" xfId="0" applyFont="1" applyFill="1" applyBorder="1" applyAlignment="1" applyProtection="1">
      <alignment horizontal="center" vertical="center"/>
      <protection locked="0" hidden="1"/>
    </xf>
    <xf numFmtId="0" fontId="0" fillId="2" borderId="6" xfId="0" applyFill="1" applyBorder="1" applyAlignment="1" applyProtection="1">
      <alignment horizontal="center" vertical="center"/>
      <protection locked="0" hidden="1"/>
    </xf>
    <xf numFmtId="0" fontId="0" fillId="2" borderId="12" xfId="0" applyFill="1" applyBorder="1" applyProtection="1">
      <protection locked="0" hidden="1"/>
    </xf>
    <xf numFmtId="0" fontId="0" fillId="2" borderId="13" xfId="0" applyFill="1" applyBorder="1" applyAlignment="1" applyProtection="1">
      <alignment horizontal="center" vertical="center"/>
      <protection locked="0" hidden="1"/>
    </xf>
    <xf numFmtId="0" fontId="0" fillId="2" borderId="33" xfId="0" applyFill="1" applyBorder="1" applyAlignment="1" applyProtection="1">
      <alignment horizontal="center" vertical="center"/>
      <protection locked="0" hidden="1"/>
    </xf>
    <xf numFmtId="0" fontId="0" fillId="2" borderId="34" xfId="0" applyFill="1" applyBorder="1" applyAlignment="1" applyProtection="1">
      <alignment horizontal="center" vertical="center"/>
      <protection locked="0" hidden="1"/>
    </xf>
    <xf numFmtId="0" fontId="0" fillId="2" borderId="55" xfId="0" applyFill="1" applyBorder="1" applyAlignment="1" applyProtection="1">
      <alignment horizontal="center" vertical="center"/>
      <protection locked="0" hidden="1"/>
    </xf>
    <xf numFmtId="0" fontId="0" fillId="2" borderId="27" xfId="0" applyFill="1" applyBorder="1" applyAlignment="1" applyProtection="1">
      <alignment horizontal="center" vertical="center"/>
      <protection locked="0" hidden="1"/>
    </xf>
    <xf numFmtId="2" fontId="0" fillId="6" borderId="0" xfId="0" applyNumberFormat="1" applyFill="1" applyBorder="1" applyAlignment="1" applyProtection="1">
      <alignment horizontal="center" vertical="center"/>
      <protection hidden="1"/>
    </xf>
    <xf numFmtId="2" fontId="0" fillId="13" borderId="0" xfId="0" applyNumberFormat="1" applyFill="1" applyBorder="1" applyAlignment="1" applyProtection="1">
      <alignment horizontal="center" vertical="center"/>
      <protection hidden="1"/>
    </xf>
    <xf numFmtId="2" fontId="2" fillId="10" borderId="19" xfId="0" applyNumberFormat="1" applyFont="1" applyFill="1" applyBorder="1" applyAlignment="1" applyProtection="1">
      <alignment horizontal="center"/>
      <protection hidden="1"/>
    </xf>
    <xf numFmtId="2" fontId="15" fillId="2" borderId="40" xfId="0" applyNumberFormat="1" applyFont="1" applyFill="1" applyBorder="1" applyAlignment="1" applyProtection="1">
      <alignment horizontal="center" vertical="center"/>
      <protection locked="0" hidden="1"/>
    </xf>
    <xf numFmtId="2" fontId="15" fillId="2" borderId="7" xfId="0" applyNumberFormat="1" applyFont="1" applyFill="1" applyBorder="1" applyAlignment="1" applyProtection="1">
      <alignment horizontal="center" vertical="center"/>
      <protection locked="0" hidden="1"/>
    </xf>
    <xf numFmtId="0" fontId="0" fillId="2" borderId="33" xfId="0" applyFill="1" applyBorder="1" applyAlignment="1" applyProtection="1">
      <protection locked="0" hidden="1"/>
    </xf>
    <xf numFmtId="0" fontId="0" fillId="2" borderId="33" xfId="0" applyNumberFormat="1" applyFill="1" applyBorder="1" applyAlignment="1" applyProtection="1">
      <protection locked="0" hidden="1"/>
    </xf>
    <xf numFmtId="9" fontId="0" fillId="2" borderId="21" xfId="7" applyFont="1" applyFill="1" applyBorder="1" applyAlignment="1" applyProtection="1">
      <alignment horizontal="center"/>
      <protection hidden="1"/>
    </xf>
    <xf numFmtId="0" fontId="0" fillId="2" borderId="19" xfId="0" applyFill="1" applyBorder="1" applyAlignment="1" applyProtection="1">
      <alignment horizontal="left"/>
      <protection locked="0" hidden="1"/>
    </xf>
    <xf numFmtId="0" fontId="24" fillId="2" borderId="55" xfId="0" applyFont="1" applyFill="1" applyBorder="1" applyAlignment="1" applyProtection="1">
      <alignment horizontal="center"/>
      <protection locked="0" hidden="1"/>
    </xf>
    <xf numFmtId="0" fontId="12" fillId="2" borderId="0" xfId="4" applyFill="1" applyBorder="1" applyProtection="1">
      <protection locked="0" hidden="1"/>
    </xf>
    <xf numFmtId="0" fontId="24" fillId="2" borderId="0" xfId="0" applyFont="1" applyFill="1" applyBorder="1" applyAlignment="1" applyProtection="1">
      <alignment horizontal="center"/>
      <protection locked="0" hidden="1"/>
    </xf>
    <xf numFmtId="0" fontId="18" fillId="12" borderId="30" xfId="0" applyFont="1" applyFill="1" applyBorder="1" applyAlignment="1" applyProtection="1">
      <alignment horizontal="center" vertical="center" wrapText="1"/>
      <protection locked="0" hidden="1"/>
    </xf>
    <xf numFmtId="0" fontId="10" fillId="12" borderId="30" xfId="0" applyFont="1" applyFill="1" applyBorder="1" applyAlignment="1" applyProtection="1">
      <alignment horizontal="center" vertical="center" wrapText="1"/>
      <protection locked="0" hidden="1"/>
    </xf>
    <xf numFmtId="0" fontId="18" fillId="24" borderId="30" xfId="0" applyFont="1" applyFill="1" applyBorder="1" applyAlignment="1" applyProtection="1">
      <alignment horizontal="center" vertical="center" wrapText="1"/>
      <protection locked="0" hidden="1"/>
    </xf>
    <xf numFmtId="0" fontId="18" fillId="23" borderId="30" xfId="0" applyFont="1" applyFill="1" applyBorder="1" applyAlignment="1" applyProtection="1">
      <alignment horizontal="center" vertical="center" wrapText="1"/>
      <protection locked="0" hidden="1"/>
    </xf>
    <xf numFmtId="0" fontId="18" fillId="9" borderId="30" xfId="0" applyFont="1" applyFill="1" applyBorder="1" applyAlignment="1" applyProtection="1">
      <alignment horizontal="center" vertical="center" wrapText="1"/>
      <protection locked="0" hidden="1"/>
    </xf>
    <xf numFmtId="0" fontId="18" fillId="12" borderId="47" xfId="0" applyFont="1" applyFill="1" applyBorder="1" applyAlignment="1" applyProtection="1">
      <alignment horizontal="center" vertical="center" wrapText="1"/>
      <protection locked="0" hidden="1"/>
    </xf>
    <xf numFmtId="0" fontId="18" fillId="12" borderId="21" xfId="0" applyFont="1" applyFill="1" applyBorder="1" applyAlignment="1" applyProtection="1">
      <alignment horizontal="center" wrapText="1"/>
      <protection locked="0" hidden="1"/>
    </xf>
    <xf numFmtId="0" fontId="0" fillId="2" borderId="0" xfId="0" applyFill="1" applyAlignment="1" applyProtection="1">
      <alignment wrapText="1"/>
      <protection locked="0" hidden="1"/>
    </xf>
    <xf numFmtId="0" fontId="18" fillId="21" borderId="15" xfId="0" applyFont="1" applyFill="1" applyBorder="1" applyAlignment="1" applyProtection="1">
      <alignment horizontal="center" vertical="center" wrapText="1"/>
      <protection locked="0" hidden="1"/>
    </xf>
    <xf numFmtId="0" fontId="18" fillId="25" borderId="16" xfId="0" applyFont="1" applyFill="1" applyBorder="1" applyAlignment="1" applyProtection="1">
      <alignment horizontal="center" vertical="center" wrapText="1"/>
      <protection locked="0" hidden="1"/>
    </xf>
    <xf numFmtId="0" fontId="18" fillId="9" borderId="18" xfId="0" applyFont="1" applyFill="1" applyBorder="1" applyAlignment="1" applyProtection="1">
      <alignment horizontal="center" vertical="center" wrapText="1"/>
      <protection locked="0" hidden="1"/>
    </xf>
    <xf numFmtId="0" fontId="18" fillId="24" borderId="14" xfId="0" applyFont="1" applyFill="1" applyBorder="1" applyAlignment="1" applyProtection="1">
      <alignment horizontal="center" vertical="center" wrapText="1"/>
      <protection locked="0" hidden="1"/>
    </xf>
    <xf numFmtId="0" fontId="25" fillId="18" borderId="30" xfId="0" applyFont="1" applyFill="1" applyBorder="1" applyAlignment="1" applyProtection="1">
      <alignment horizontal="center" wrapText="1"/>
      <protection locked="0" hidden="1"/>
    </xf>
    <xf numFmtId="0" fontId="4" fillId="17" borderId="19" xfId="1" applyNumberFormat="1" applyFont="1" applyFill="1" applyBorder="1" applyAlignment="1">
      <alignment horizontal="center" vertical="center" wrapText="1"/>
    </xf>
    <xf numFmtId="0" fontId="4" fillId="9" borderId="21" xfId="1" applyFont="1" applyFill="1" applyBorder="1" applyAlignment="1" applyProtection="1">
      <alignment horizontal="center" vertical="center" wrapText="1"/>
      <protection locked="0" hidden="1"/>
    </xf>
    <xf numFmtId="0" fontId="47" fillId="28" borderId="56" xfId="0" applyFont="1" applyFill="1" applyBorder="1"/>
    <xf numFmtId="0" fontId="31" fillId="2" borderId="48" xfId="0" applyFont="1" applyFill="1" applyBorder="1" applyAlignment="1" applyProtection="1">
      <alignment wrapText="1"/>
      <protection locked="0" hidden="1"/>
    </xf>
    <xf numFmtId="0" fontId="31" fillId="2" borderId="52" xfId="0" applyFont="1" applyFill="1" applyBorder="1" applyAlignment="1" applyProtection="1">
      <alignment wrapText="1"/>
      <protection locked="0" hidden="1"/>
    </xf>
    <xf numFmtId="0" fontId="31" fillId="2" borderId="22" xfId="0" applyFont="1" applyFill="1" applyBorder="1" applyAlignment="1" applyProtection="1">
      <alignment horizontal="center" wrapText="1"/>
      <protection locked="0" hidden="1"/>
    </xf>
    <xf numFmtId="0" fontId="0" fillId="2" borderId="58" xfId="0" applyFill="1" applyBorder="1" applyProtection="1">
      <protection locked="0" hidden="1"/>
    </xf>
    <xf numFmtId="0" fontId="4" fillId="17" borderId="51" xfId="1" applyFont="1" applyFill="1" applyBorder="1" applyAlignment="1" applyProtection="1">
      <alignment horizontal="center" vertical="center" wrapText="1"/>
      <protection locked="0" hidden="1"/>
    </xf>
    <xf numFmtId="0" fontId="31" fillId="2" borderId="19" xfId="0" applyFont="1" applyFill="1" applyBorder="1" applyAlignment="1" applyProtection="1">
      <alignment horizontal="center"/>
      <protection locked="0" hidden="1"/>
    </xf>
    <xf numFmtId="0" fontId="31" fillId="2" borderId="19" xfId="0" applyFont="1" applyFill="1" applyBorder="1" applyProtection="1">
      <protection locked="0" hidden="1"/>
    </xf>
    <xf numFmtId="0" fontId="4" fillId="15" borderId="19" xfId="1" applyFont="1" applyFill="1" applyBorder="1" applyAlignment="1" applyProtection="1">
      <alignment horizontal="center" vertical="center" wrapText="1"/>
      <protection locked="0" hidden="1"/>
    </xf>
    <xf numFmtId="0" fontId="4" fillId="16" borderId="19" xfId="1" applyFont="1" applyFill="1" applyBorder="1" applyAlignment="1" applyProtection="1">
      <alignment horizontal="center" vertical="center"/>
      <protection locked="0" hidden="1"/>
    </xf>
    <xf numFmtId="0" fontId="47" fillId="28" borderId="57" xfId="0" applyFont="1" applyFill="1" applyBorder="1" applyAlignment="1">
      <alignment horizontal="center"/>
    </xf>
    <xf numFmtId="0" fontId="44" fillId="29" borderId="16" xfId="0" applyFont="1" applyFill="1" applyBorder="1" applyAlignment="1" applyProtection="1">
      <alignment horizontal="center" vertical="center"/>
      <protection locked="0" hidden="1"/>
    </xf>
    <xf numFmtId="0" fontId="47" fillId="28" borderId="59" xfId="0" applyFont="1" applyFill="1" applyBorder="1"/>
    <xf numFmtId="0" fontId="0" fillId="0" borderId="19" xfId="0" applyBorder="1"/>
    <xf numFmtId="0" fontId="4" fillId="9" borderId="19" xfId="1" applyNumberFormat="1" applyFont="1" applyFill="1" applyBorder="1" applyAlignment="1">
      <alignment horizontal="center" vertical="center"/>
    </xf>
    <xf numFmtId="0" fontId="4" fillId="15" borderId="19" xfId="1" applyNumberFormat="1" applyFont="1" applyFill="1" applyBorder="1" applyAlignment="1">
      <alignment horizontal="center" vertical="center" wrapText="1"/>
    </xf>
    <xf numFmtId="0" fontId="44" fillId="22" borderId="19" xfId="0" applyFont="1" applyFill="1" applyBorder="1" applyAlignment="1">
      <alignment horizontal="center" vertical="center" wrapText="1"/>
    </xf>
    <xf numFmtId="0" fontId="47" fillId="28" borderId="60" xfId="0" applyFont="1" applyFill="1" applyBorder="1"/>
    <xf numFmtId="0" fontId="47" fillId="28" borderId="59" xfId="0" applyFont="1" applyFill="1" applyBorder="1" applyAlignment="1">
      <alignment horizontal="center"/>
    </xf>
    <xf numFmtId="0" fontId="0" fillId="0" borderId="19" xfId="0" applyFill="1" applyBorder="1"/>
    <xf numFmtId="0" fontId="46" fillId="3" borderId="35" xfId="0" applyFont="1" applyFill="1" applyBorder="1" applyAlignment="1">
      <alignment horizontal="center"/>
    </xf>
    <xf numFmtId="0" fontId="46" fillId="3" borderId="0" xfId="0" applyFont="1" applyFill="1" applyBorder="1" applyAlignment="1">
      <alignment horizontal="center"/>
    </xf>
    <xf numFmtId="0" fontId="19" fillId="0" borderId="0" xfId="4" applyFont="1" applyBorder="1" applyAlignment="1" applyProtection="1">
      <alignment horizontal="center"/>
      <protection locked="0" hidden="1"/>
    </xf>
    <xf numFmtId="0" fontId="19" fillId="0" borderId="0" xfId="4" applyFont="1" applyBorder="1" applyAlignment="1" applyProtection="1">
      <alignment horizontal="left"/>
      <protection locked="0" hidden="1"/>
    </xf>
    <xf numFmtId="0" fontId="21" fillId="0" borderId="0" xfId="3" applyFont="1" applyAlignment="1" applyProtection="1">
      <alignment horizontal="center" vertical="center"/>
      <protection locked="0" hidden="1"/>
    </xf>
    <xf numFmtId="0" fontId="21" fillId="0" borderId="0" xfId="3" applyFont="1" applyAlignment="1" applyProtection="1">
      <alignment horizontal="left" vertical="center"/>
      <protection locked="0" hidden="1"/>
    </xf>
    <xf numFmtId="0" fontId="16" fillId="0" borderId="37" xfId="4" applyFont="1" applyAlignment="1" applyProtection="1">
      <alignment horizontal="center" wrapText="1"/>
      <protection locked="0" hidden="1"/>
    </xf>
    <xf numFmtId="0" fontId="16" fillId="0" borderId="37" xfId="4" applyFont="1" applyAlignment="1" applyProtection="1">
      <alignment horizontal="center"/>
      <protection locked="0" hidden="1"/>
    </xf>
    <xf numFmtId="0" fontId="16" fillId="0" borderId="37" xfId="4" applyFont="1" applyAlignment="1" applyProtection="1">
      <alignment horizontal="left"/>
      <protection locked="0" hidden="1"/>
    </xf>
    <xf numFmtId="0" fontId="20" fillId="0" borderId="0" xfId="5" applyFont="1" applyBorder="1" applyAlignment="1" applyProtection="1">
      <alignment horizontal="left"/>
      <protection locked="0" hidden="1"/>
    </xf>
    <xf numFmtId="0" fontId="42" fillId="26" borderId="40" xfId="0" applyFont="1" applyFill="1" applyBorder="1" applyAlignment="1" applyProtection="1">
      <alignment horizontal="center"/>
      <protection locked="0" hidden="1"/>
    </xf>
    <xf numFmtId="0" fontId="42" fillId="26" borderId="29" xfId="0" applyFont="1" applyFill="1" applyBorder="1" applyAlignment="1" applyProtection="1">
      <alignment horizontal="center"/>
      <protection locked="0" hidden="1"/>
    </xf>
    <xf numFmtId="0" fontId="42" fillId="26" borderId="7" xfId="0" applyFont="1" applyFill="1" applyBorder="1" applyAlignment="1" applyProtection="1">
      <alignment horizontal="center"/>
      <protection locked="0" hidden="1"/>
    </xf>
    <xf numFmtId="0" fontId="26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1" fillId="18" borderId="40" xfId="0" applyFont="1" applyFill="1" applyBorder="1" applyAlignment="1" applyProtection="1">
      <alignment horizontal="center"/>
      <protection locked="0" hidden="1"/>
    </xf>
    <xf numFmtId="0" fontId="31" fillId="18" borderId="7" xfId="0" applyFont="1" applyFill="1" applyBorder="1" applyAlignment="1" applyProtection="1">
      <alignment horizontal="center"/>
      <protection locked="0" hidden="1"/>
    </xf>
    <xf numFmtId="0" fontId="27" fillId="24" borderId="1" xfId="0" applyFont="1" applyFill="1" applyBorder="1" applyAlignment="1" applyProtection="1">
      <alignment horizontal="center" vertical="center"/>
      <protection locked="0" hidden="1"/>
    </xf>
    <xf numFmtId="0" fontId="27" fillId="24" borderId="2" xfId="0" applyFont="1" applyFill="1" applyBorder="1" applyAlignment="1" applyProtection="1">
      <alignment horizontal="center" vertical="center"/>
      <protection locked="0" hidden="1"/>
    </xf>
    <xf numFmtId="0" fontId="27" fillId="24" borderId="3" xfId="0" applyFont="1" applyFill="1" applyBorder="1" applyAlignment="1" applyProtection="1">
      <alignment horizontal="center" vertical="center"/>
      <protection locked="0" hidden="1"/>
    </xf>
    <xf numFmtId="0" fontId="27" fillId="24" borderId="35" xfId="0" applyFont="1" applyFill="1" applyBorder="1" applyAlignment="1" applyProtection="1">
      <alignment horizontal="center" vertical="center"/>
      <protection locked="0" hidden="1"/>
    </xf>
    <xf numFmtId="0" fontId="27" fillId="24" borderId="0" xfId="0" applyFont="1" applyFill="1" applyBorder="1" applyAlignment="1" applyProtection="1">
      <alignment horizontal="center" vertical="center"/>
      <protection locked="0" hidden="1"/>
    </xf>
    <xf numFmtId="0" fontId="27" fillId="24" borderId="36" xfId="0" applyFont="1" applyFill="1" applyBorder="1" applyAlignment="1" applyProtection="1">
      <alignment horizontal="center" vertical="center"/>
      <protection locked="0" hidden="1"/>
    </xf>
    <xf numFmtId="0" fontId="27" fillId="24" borderId="8" xfId="0" applyFont="1" applyFill="1" applyBorder="1" applyAlignment="1" applyProtection="1">
      <alignment horizontal="center" vertical="center"/>
      <protection locked="0" hidden="1"/>
    </xf>
    <xf numFmtId="0" fontId="27" fillId="24" borderId="9" xfId="0" applyFont="1" applyFill="1" applyBorder="1" applyAlignment="1" applyProtection="1">
      <alignment horizontal="center" vertical="center"/>
      <protection locked="0" hidden="1"/>
    </xf>
    <xf numFmtId="0" fontId="27" fillId="24" borderId="10" xfId="0" applyFont="1" applyFill="1" applyBorder="1" applyAlignment="1" applyProtection="1">
      <alignment horizontal="center" vertical="center"/>
      <protection locked="0" hidden="1"/>
    </xf>
    <xf numFmtId="0" fontId="40" fillId="23" borderId="1" xfId="0" applyFont="1" applyFill="1" applyBorder="1" applyAlignment="1" applyProtection="1">
      <alignment horizontal="center" vertical="center"/>
      <protection locked="0" hidden="1"/>
    </xf>
    <xf numFmtId="0" fontId="40" fillId="23" borderId="2" xfId="0" applyFont="1" applyFill="1" applyBorder="1" applyAlignment="1" applyProtection="1">
      <alignment horizontal="center" vertical="center"/>
      <protection locked="0" hidden="1"/>
    </xf>
    <xf numFmtId="0" fontId="40" fillId="23" borderId="3" xfId="0" applyFont="1" applyFill="1" applyBorder="1" applyAlignment="1" applyProtection="1">
      <alignment horizontal="center" vertical="center"/>
      <protection locked="0" hidden="1"/>
    </xf>
    <xf numFmtId="0" fontId="40" fillId="23" borderId="35" xfId="0" applyFont="1" applyFill="1" applyBorder="1" applyAlignment="1" applyProtection="1">
      <alignment horizontal="center" vertical="center"/>
      <protection locked="0" hidden="1"/>
    </xf>
    <xf numFmtId="0" fontId="40" fillId="23" borderId="0" xfId="0" applyFont="1" applyFill="1" applyBorder="1" applyAlignment="1" applyProtection="1">
      <alignment horizontal="center" vertical="center"/>
      <protection locked="0" hidden="1"/>
    </xf>
    <xf numFmtId="0" fontId="40" fillId="23" borderId="36" xfId="0" applyFont="1" applyFill="1" applyBorder="1" applyAlignment="1" applyProtection="1">
      <alignment horizontal="center" vertical="center"/>
      <protection locked="0" hidden="1"/>
    </xf>
    <xf numFmtId="0" fontId="40" fillId="23" borderId="8" xfId="0" applyFont="1" applyFill="1" applyBorder="1" applyAlignment="1" applyProtection="1">
      <alignment horizontal="center" vertical="center"/>
      <protection locked="0" hidden="1"/>
    </xf>
    <xf numFmtId="0" fontId="40" fillId="23" borderId="9" xfId="0" applyFont="1" applyFill="1" applyBorder="1" applyAlignment="1" applyProtection="1">
      <alignment horizontal="center" vertical="center"/>
      <protection locked="0" hidden="1"/>
    </xf>
    <xf numFmtId="0" fontId="0" fillId="2" borderId="43" xfId="0" applyFill="1" applyBorder="1" applyAlignment="1" applyProtection="1">
      <alignment horizontal="center" vertical="center"/>
      <protection locked="0" hidden="1"/>
    </xf>
    <xf numFmtId="0" fontId="0" fillId="2" borderId="41" xfId="0" applyFill="1" applyBorder="1" applyAlignment="1" applyProtection="1">
      <alignment horizontal="center" vertical="center"/>
      <protection locked="0" hidden="1"/>
    </xf>
    <xf numFmtId="2" fontId="15" fillId="2" borderId="40" xfId="0" applyNumberFormat="1" applyFont="1" applyFill="1" applyBorder="1" applyAlignment="1" applyProtection="1">
      <alignment horizontal="center"/>
      <protection locked="0" hidden="1"/>
    </xf>
    <xf numFmtId="2" fontId="15" fillId="2" borderId="29" xfId="0" applyNumberFormat="1" applyFont="1" applyFill="1" applyBorder="1" applyAlignment="1" applyProtection="1">
      <alignment horizontal="center"/>
      <protection locked="0" hidden="1"/>
    </xf>
    <xf numFmtId="2" fontId="15" fillId="2" borderId="7" xfId="0" applyNumberFormat="1" applyFont="1" applyFill="1" applyBorder="1" applyAlignment="1" applyProtection="1">
      <alignment horizontal="center"/>
      <protection locked="0" hidden="1"/>
    </xf>
    <xf numFmtId="0" fontId="27" fillId="4" borderId="1" xfId="0" applyFont="1" applyFill="1" applyBorder="1" applyAlignment="1" applyProtection="1">
      <alignment horizontal="center" vertical="center"/>
      <protection locked="0" hidden="1"/>
    </xf>
    <xf numFmtId="0" fontId="27" fillId="4" borderId="2" xfId="0" applyFont="1" applyFill="1" applyBorder="1" applyAlignment="1" applyProtection="1">
      <alignment horizontal="center" vertical="center"/>
      <protection locked="0" hidden="1"/>
    </xf>
    <xf numFmtId="0" fontId="27" fillId="4" borderId="3" xfId="0" applyFont="1" applyFill="1" applyBorder="1" applyAlignment="1" applyProtection="1">
      <alignment horizontal="center" vertical="center"/>
      <protection locked="0" hidden="1"/>
    </xf>
    <xf numFmtId="0" fontId="27" fillId="4" borderId="35" xfId="0" applyFont="1" applyFill="1" applyBorder="1" applyAlignment="1" applyProtection="1">
      <alignment horizontal="center" vertical="center"/>
      <protection locked="0" hidden="1"/>
    </xf>
    <xf numFmtId="0" fontId="27" fillId="4" borderId="0" xfId="0" applyFont="1" applyFill="1" applyBorder="1" applyAlignment="1" applyProtection="1">
      <alignment horizontal="center" vertical="center"/>
      <protection locked="0" hidden="1"/>
    </xf>
    <xf numFmtId="0" fontId="27" fillId="4" borderId="36" xfId="0" applyFont="1" applyFill="1" applyBorder="1" applyAlignment="1" applyProtection="1">
      <alignment horizontal="center" vertical="center"/>
      <protection locked="0" hidden="1"/>
    </xf>
    <xf numFmtId="0" fontId="27" fillId="4" borderId="8" xfId="0" applyFont="1" applyFill="1" applyBorder="1" applyAlignment="1" applyProtection="1">
      <alignment horizontal="center" vertical="center"/>
      <protection locked="0" hidden="1"/>
    </xf>
    <xf numFmtId="0" fontId="27" fillId="4" borderId="9" xfId="0" applyFont="1" applyFill="1" applyBorder="1" applyAlignment="1" applyProtection="1">
      <alignment horizontal="center" vertical="center"/>
      <protection locked="0" hidden="1"/>
    </xf>
    <xf numFmtId="0" fontId="27" fillId="4" borderId="10" xfId="0" applyFont="1" applyFill="1" applyBorder="1" applyAlignment="1" applyProtection="1">
      <alignment horizontal="center" vertical="center"/>
      <protection locked="0" hidden="1"/>
    </xf>
    <xf numFmtId="0" fontId="27" fillId="5" borderId="1" xfId="0" applyFont="1" applyFill="1" applyBorder="1" applyAlignment="1" applyProtection="1">
      <alignment horizontal="center" vertical="center"/>
      <protection locked="0" hidden="1"/>
    </xf>
    <xf numFmtId="0" fontId="27" fillId="5" borderId="2" xfId="0" applyFont="1" applyFill="1" applyBorder="1" applyAlignment="1" applyProtection="1">
      <alignment horizontal="center" vertical="center"/>
      <protection locked="0" hidden="1"/>
    </xf>
    <xf numFmtId="0" fontId="27" fillId="5" borderId="3" xfId="0" applyFont="1" applyFill="1" applyBorder="1" applyAlignment="1" applyProtection="1">
      <alignment horizontal="center" vertical="center"/>
      <protection locked="0" hidden="1"/>
    </xf>
    <xf numFmtId="0" fontId="27" fillId="5" borderId="35" xfId="0" applyFont="1" applyFill="1" applyBorder="1" applyAlignment="1" applyProtection="1">
      <alignment horizontal="center" vertical="center"/>
      <protection locked="0" hidden="1"/>
    </xf>
    <xf numFmtId="0" fontId="27" fillId="5" borderId="0" xfId="0" applyFont="1" applyFill="1" applyBorder="1" applyAlignment="1" applyProtection="1">
      <alignment horizontal="center" vertical="center"/>
      <protection locked="0" hidden="1"/>
    </xf>
    <xf numFmtId="0" fontId="27" fillId="5" borderId="36" xfId="0" applyFont="1" applyFill="1" applyBorder="1" applyAlignment="1" applyProtection="1">
      <alignment horizontal="center" vertical="center"/>
      <protection locked="0" hidden="1"/>
    </xf>
    <xf numFmtId="0" fontId="27" fillId="5" borderId="8" xfId="0" applyFont="1" applyFill="1" applyBorder="1" applyAlignment="1" applyProtection="1">
      <alignment horizontal="center" vertical="center"/>
      <protection locked="0" hidden="1"/>
    </xf>
    <xf numFmtId="0" fontId="27" fillId="5" borderId="9" xfId="0" applyFont="1" applyFill="1" applyBorder="1" applyAlignment="1" applyProtection="1">
      <alignment horizontal="center" vertical="center"/>
      <protection locked="0" hidden="1"/>
    </xf>
    <xf numFmtId="0" fontId="0" fillId="2" borderId="45" xfId="0" applyFill="1" applyBorder="1" applyAlignment="1" applyProtection="1">
      <alignment horizontal="center" vertical="center"/>
      <protection locked="0" hidden="1"/>
    </xf>
  </cellXfs>
  <cellStyles count="11">
    <cellStyle name="Encabezado 1" xfId="4" builtinId="16"/>
    <cellStyle name="Hipervínculo 2" xfId="10" xr:uid="{C94BC11D-D9D6-446C-B143-B85C1AC70650}"/>
    <cellStyle name="Incorrecto" xfId="6" builtinId="27"/>
    <cellStyle name="Normal" xfId="0" builtinId="0"/>
    <cellStyle name="Normal 2" xfId="1" xr:uid="{00000000-0005-0000-0000-000005000000}"/>
    <cellStyle name="Normal 2 2" xfId="9" xr:uid="{00000000-0005-0000-0000-000006000000}"/>
    <cellStyle name="Normal 3" xfId="2" xr:uid="{00000000-0005-0000-0000-000007000000}"/>
    <cellStyle name="Normal 4" xfId="8" xr:uid="{00000000-0005-0000-0000-000008000000}"/>
    <cellStyle name="Porcentaje" xfId="7" builtinId="5"/>
    <cellStyle name="Título" xfId="3" builtinId="15"/>
    <cellStyle name="Título 2" xfId="5" builtinId="17"/>
  </cellStyles>
  <dxfs count="58">
    <dxf>
      <font>
        <color theme="4" tint="-0.499984740745262"/>
      </font>
      <fill>
        <patternFill>
          <bgColor theme="4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C00000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ill>
        <patternFill>
          <bgColor theme="9"/>
        </patternFill>
      </fill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ill>
        <patternFill>
          <bgColor theme="0" tint="-0.14996795556505021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1" tint="0.34998626667073579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 tint="-0.14996795556505021"/>
        </patternFill>
      </fill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border outline="0">
        <left style="thin">
          <color indexed="64"/>
        </left>
      </border>
    </dxf>
    <dxf>
      <fill>
        <patternFill patternType="solid">
          <fgColor indexed="64"/>
          <bgColor theme="0"/>
        </patternFill>
      </fill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color theme="0"/>
      </font>
      <fill>
        <patternFill>
          <bgColor theme="0" tint="-0.14996795556505021"/>
        </patternFill>
      </fill>
    </dxf>
    <dxf>
      <font>
        <color theme="0"/>
      </font>
      <fill>
        <patternFill>
          <bgColor theme="0" tint="-0.14996795556505021"/>
        </patternFill>
      </fill>
    </dxf>
    <dxf>
      <font>
        <color rgb="FFFF0000"/>
      </font>
    </dxf>
    <dxf>
      <font>
        <color rgb="FFC00000"/>
      </font>
    </dxf>
    <dxf>
      <font>
        <color rgb="FFFFC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7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7"/>
      <tableStyleElement type="headerRow" dxfId="56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60325</xdr:colOff>
      <xdr:row>0</xdr:row>
      <xdr:rowOff>0</xdr:rowOff>
    </xdr:from>
    <xdr:ext cx="1406525" cy="1160426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875" y="0"/>
          <a:ext cx="1406525" cy="116042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123949" cy="927292"/>
    <xdr:pic>
      <xdr:nvPicPr>
        <xdr:cNvPr id="2" name="Imagen 1">
          <a:extLst>
            <a:ext uri="{FF2B5EF4-FFF2-40B4-BE49-F238E27FC236}">
              <a16:creationId xmlns:a16="http://schemas.microsoft.com/office/drawing/2014/main" id="{FEEE5964-3A4D-412F-A4C8-EE9B1BB3C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23949" cy="927292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1CD35E-23BF-4F3E-90BB-2203561596BC}" name="Tabla1" displayName="Tabla1" ref="A4:D24" totalsRowShown="0">
  <autoFilter ref="A4:D24" xr:uid="{C1828992-62EE-4A5D-BF2B-A045F3DF49B2}"/>
  <tableColumns count="4">
    <tableColumn id="1" xr3:uid="{8316AF58-DC63-45E7-ABC0-79E8B445FABC}" name="N°"/>
    <tableColumn id="2" xr3:uid="{9B032579-1BA5-48BF-96C0-13B3953155E4}" name="CAMPOS" dataDxfId="55"/>
    <tableColumn id="3" xr3:uid="{33806E8B-C766-4CBF-AB2D-5F4041EAAC90}" name="DESCRIPCIÓN"/>
    <tableColumn id="5" xr3:uid="{1496B639-8D72-4C2E-98DD-34F28CC31FA7}" name="ES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F66800-046A-47C7-9CB5-A4F42E890F4A}" name="Tabla7" displayName="Tabla7" ref="A5:O16" totalsRowShown="0" headerRowDxfId="49" dataDxfId="48" tableBorderDxfId="47" headerRowCellStyle="Normal 2">
  <autoFilter ref="A5:O16" xr:uid="{00000000-0009-0000-0000-000003000000}"/>
  <tableColumns count="15">
    <tableColumn id="1" xr3:uid="{DCFFEDD2-09D8-4A33-87EE-8DC0CDE14983}" name="CARRERA" dataDxfId="46" dataCellStyle="Normal 2"/>
    <tableColumn id="2" xr3:uid="{890EE9E1-2569-40D7-B861-DA5046AB516F}" name="ESTADO" dataDxfId="45" dataCellStyle="Normal 2"/>
    <tableColumn id="21" xr3:uid="{66FF1536-845C-4A88-8E60-CD6D01DA3C1F}" name="Nota mínima" dataDxfId="44" dataCellStyle="Normal 2"/>
    <tableColumn id="22" xr3:uid="{B77205AD-0AF1-405E-A23D-BFAE70EEF537}" name="Nota máxima" dataDxfId="43" dataCellStyle="Normal 2"/>
    <tableColumn id="3" xr3:uid="{AC5AD5C8-B1C1-4C9E-A6BF-267C0C22B9E5}" name="Nota&gt;=12" dataDxfId="42" dataCellStyle="Normal 2"/>
    <tableColumn id="23" xr3:uid="{4FD590FC-9921-4FCD-9F93-72B8DF949269}" name="Nota de último ingresante" dataDxfId="41" dataCellStyle="Normal 2"/>
    <tableColumn id="4" xr3:uid="{F6C66719-79E1-4F65-B50D-A6FEE62D04D3}" name="INGRESANTES" dataDxfId="40" dataCellStyle="Normal 2"/>
    <tableColumn id="5" xr3:uid="{F5E44736-838D-4C91-9F00-D3AF333F1481}" name="ACCESITARIO" dataDxfId="39" dataCellStyle="Normal 2"/>
    <tableColumn id="6" xr3:uid="{30D00C6E-A1B1-4335-B391-DE95232E68F4}" name="NO INGRESANTE" dataDxfId="38" dataCellStyle="Normal 2"/>
    <tableColumn id="7" xr3:uid="{4FF8B054-FF53-4B45-8443-DEE280731082}" name="Nº Postulantes" dataDxfId="37" dataCellStyle="Normal 2"/>
    <tableColumn id="8" xr3:uid="{B57E104D-C82C-4C85-A98F-539DB59B871C}" name="Requieren nivelación" dataDxfId="36" dataCellStyle="Normal 2"/>
    <tableColumn id="9" xr3:uid="{8C5043FB-7D17-4DCE-B046-92CB63B9E9A9}" name="No requieren nivelación" dataDxfId="35" dataCellStyle="Normal 2"/>
    <tableColumn id="10" xr3:uid="{54D12200-613E-4307-A546-0467C271B5E4}" name="Nivelación_Comunicación" dataDxfId="34" dataCellStyle="Normal 2"/>
    <tableColumn id="11" xr3:uid="{8F19DCFF-8D67-4569-B716-7C81CC1034C6}" name="Nivelación_Matemática" dataDxfId="33" dataCellStyle="Normal 2"/>
    <tableColumn id="12" xr3:uid="{7B36FE4C-DFF0-425E-9A3B-BCFE1A0A812A}" name="Nivelación Comun_Matem." dataDxfId="32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58AAD-2766-4EEA-B897-D12F35D80E1E}">
  <sheetPr>
    <tabColor theme="1"/>
  </sheetPr>
  <dimension ref="A2:D24"/>
  <sheetViews>
    <sheetView workbookViewId="0">
      <selection activeCell="C26" sqref="C26"/>
    </sheetView>
  </sheetViews>
  <sheetFormatPr baseColWidth="10" defaultRowHeight="15" x14ac:dyDescent="0.25"/>
  <cols>
    <col min="1" max="1" width="9.42578125" bestFit="1" customWidth="1"/>
    <col min="2" max="2" width="22.42578125" bestFit="1" customWidth="1"/>
    <col min="3" max="3" width="42" bestFit="1" customWidth="1"/>
  </cols>
  <sheetData>
    <row r="2" spans="1:4" ht="18.75" x14ac:dyDescent="0.3">
      <c r="A2" s="180" t="s">
        <v>400</v>
      </c>
      <c r="B2" s="249" t="s">
        <v>480</v>
      </c>
      <c r="C2" s="250"/>
    </row>
    <row r="3" spans="1:4" ht="3.75" customHeight="1" x14ac:dyDescent="0.25"/>
    <row r="4" spans="1:4" x14ac:dyDescent="0.25">
      <c r="A4" t="s">
        <v>28</v>
      </c>
      <c r="B4" s="179" t="s">
        <v>398</v>
      </c>
      <c r="C4" t="s">
        <v>399</v>
      </c>
      <c r="D4" t="s">
        <v>401</v>
      </c>
    </row>
    <row r="5" spans="1:4" x14ac:dyDescent="0.25">
      <c r="A5">
        <v>1</v>
      </c>
      <c r="B5" s="169" t="s">
        <v>28</v>
      </c>
      <c r="C5" t="s">
        <v>402</v>
      </c>
    </row>
    <row r="6" spans="1:4" x14ac:dyDescent="0.25">
      <c r="A6">
        <v>2</v>
      </c>
      <c r="B6" s="169" t="s">
        <v>4</v>
      </c>
      <c r="C6" t="s">
        <v>403</v>
      </c>
    </row>
    <row r="7" spans="1:4" x14ac:dyDescent="0.25">
      <c r="A7">
        <v>3</v>
      </c>
      <c r="B7" s="169" t="s">
        <v>3</v>
      </c>
      <c r="C7" t="s">
        <v>404</v>
      </c>
    </row>
    <row r="8" spans="1:4" x14ac:dyDescent="0.25">
      <c r="A8">
        <v>4</v>
      </c>
      <c r="B8" s="169" t="s">
        <v>5</v>
      </c>
      <c r="C8" t="s">
        <v>405</v>
      </c>
    </row>
    <row r="9" spans="1:4" x14ac:dyDescent="0.25">
      <c r="A9">
        <v>5</v>
      </c>
      <c r="B9" s="169" t="s">
        <v>427</v>
      </c>
      <c r="C9" t="s">
        <v>406</v>
      </c>
    </row>
    <row r="10" spans="1:4" x14ac:dyDescent="0.25">
      <c r="A10">
        <v>6</v>
      </c>
      <c r="B10" s="169" t="s">
        <v>6</v>
      </c>
      <c r="C10" t="s">
        <v>407</v>
      </c>
    </row>
    <row r="11" spans="1:4" x14ac:dyDescent="0.25">
      <c r="A11">
        <v>7</v>
      </c>
      <c r="B11" s="170" t="s">
        <v>428</v>
      </c>
      <c r="C11" t="s">
        <v>409</v>
      </c>
    </row>
    <row r="12" spans="1:4" x14ac:dyDescent="0.25">
      <c r="A12">
        <v>8</v>
      </c>
      <c r="B12" s="171" t="s">
        <v>429</v>
      </c>
      <c r="C12" t="s">
        <v>410</v>
      </c>
    </row>
    <row r="13" spans="1:4" x14ac:dyDescent="0.25">
      <c r="A13">
        <v>9</v>
      </c>
      <c r="B13" s="172" t="s">
        <v>430</v>
      </c>
      <c r="C13" t="s">
        <v>411</v>
      </c>
    </row>
    <row r="14" spans="1:4" x14ac:dyDescent="0.25">
      <c r="A14">
        <v>10</v>
      </c>
      <c r="B14" s="169" t="s">
        <v>432</v>
      </c>
      <c r="C14" t="s">
        <v>408</v>
      </c>
    </row>
    <row r="15" spans="1:4" x14ac:dyDescent="0.25">
      <c r="A15">
        <v>11</v>
      </c>
      <c r="B15" s="173" t="s">
        <v>433</v>
      </c>
      <c r="C15" t="s">
        <v>412</v>
      </c>
    </row>
    <row r="16" spans="1:4" x14ac:dyDescent="0.25">
      <c r="A16">
        <v>12</v>
      </c>
      <c r="B16" s="173" t="s">
        <v>434</v>
      </c>
      <c r="C16" t="s">
        <v>413</v>
      </c>
    </row>
    <row r="17" spans="1:3" ht="15.75" thickBot="1" x14ac:dyDescent="0.3">
      <c r="A17">
        <v>13</v>
      </c>
      <c r="B17" s="174" t="s">
        <v>63</v>
      </c>
      <c r="C17" t="s">
        <v>414</v>
      </c>
    </row>
    <row r="18" spans="1:3" ht="15.75" thickBot="1" x14ac:dyDescent="0.3">
      <c r="A18">
        <v>14</v>
      </c>
      <c r="B18" s="175" t="s">
        <v>497</v>
      </c>
      <c r="C18" t="s">
        <v>415</v>
      </c>
    </row>
    <row r="19" spans="1:3" ht="15.75" thickBot="1" x14ac:dyDescent="0.3">
      <c r="A19">
        <v>15</v>
      </c>
      <c r="B19" s="240" t="s">
        <v>498</v>
      </c>
      <c r="C19" t="s">
        <v>416</v>
      </c>
    </row>
    <row r="20" spans="1:3" ht="15.75" thickBot="1" x14ac:dyDescent="0.3">
      <c r="A20">
        <v>16</v>
      </c>
      <c r="B20" s="176" t="s">
        <v>499</v>
      </c>
      <c r="C20" t="s">
        <v>417</v>
      </c>
    </row>
    <row r="21" spans="1:3" ht="15.75" thickBot="1" x14ac:dyDescent="0.3">
      <c r="A21">
        <v>17</v>
      </c>
      <c r="B21" s="177" t="s">
        <v>500</v>
      </c>
      <c r="C21" t="s">
        <v>418</v>
      </c>
    </row>
    <row r="22" spans="1:3" x14ac:dyDescent="0.25">
      <c r="A22">
        <v>18</v>
      </c>
      <c r="B22" s="178" t="s">
        <v>448</v>
      </c>
      <c r="C22" t="s">
        <v>419</v>
      </c>
    </row>
    <row r="23" spans="1:3" x14ac:dyDescent="0.25">
      <c r="A23">
        <v>19</v>
      </c>
      <c r="B23" s="178" t="s">
        <v>447</v>
      </c>
      <c r="C23" t="s">
        <v>420</v>
      </c>
    </row>
    <row r="24" spans="1:3" x14ac:dyDescent="0.25">
      <c r="A24">
        <v>20</v>
      </c>
      <c r="B24" s="178" t="s">
        <v>449</v>
      </c>
      <c r="C24" t="s">
        <v>421</v>
      </c>
    </row>
  </sheetData>
  <mergeCells count="1">
    <mergeCell ref="B2:C2"/>
  </mergeCell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theme="1"/>
    <pageSetUpPr fitToPage="1"/>
  </sheetPr>
  <dimension ref="A1:V112"/>
  <sheetViews>
    <sheetView tabSelected="1" view="pageBreakPreview" zoomScale="50" zoomScaleNormal="50" zoomScaleSheetLayoutView="50" workbookViewId="0">
      <selection activeCell="A7" sqref="A7"/>
    </sheetView>
  </sheetViews>
  <sheetFormatPr baseColWidth="10" defaultRowHeight="15" x14ac:dyDescent="0.25"/>
  <cols>
    <col min="1" max="1" width="14.42578125" style="12" customWidth="1"/>
    <col min="2" max="2" width="24.42578125" style="12" customWidth="1"/>
    <col min="3" max="3" width="21.140625" style="12" bestFit="1" customWidth="1"/>
    <col min="4" max="4" width="54.140625" style="1" customWidth="1"/>
    <col min="5" max="5" width="19.7109375" style="1" bestFit="1" customWidth="1"/>
    <col min="6" max="6" width="47.28515625" style="110" bestFit="1" customWidth="1"/>
    <col min="7" max="7" width="24.42578125" style="12" customWidth="1"/>
    <col min="8" max="8" width="21.5703125" style="12" bestFit="1" customWidth="1"/>
    <col min="9" max="9" width="19.140625" style="1" bestFit="1" customWidth="1"/>
    <col min="10" max="10" width="25.140625" style="1" customWidth="1"/>
    <col min="11" max="11" width="22.42578125" style="12" customWidth="1"/>
    <col min="12" max="12" width="79.140625" style="12" bestFit="1" customWidth="1"/>
    <col min="13" max="13" width="34" style="110" customWidth="1"/>
    <col min="14" max="14" width="7.140625" style="1" customWidth="1"/>
    <col min="15" max="15" width="17.140625" style="12" bestFit="1" customWidth="1"/>
    <col min="16" max="16" width="17.28515625" style="12" bestFit="1" customWidth="1"/>
    <col min="17" max="17" width="18.28515625" style="12" bestFit="1" customWidth="1"/>
    <col min="18" max="18" width="21.42578125" style="12" bestFit="1" customWidth="1"/>
    <col min="19" max="19" width="2.5703125" style="1" customWidth="1"/>
    <col min="20" max="20" width="23.28515625" style="1" bestFit="1" customWidth="1"/>
    <col min="21" max="21" width="39" style="1" bestFit="1" customWidth="1"/>
    <col min="22" max="22" width="79.5703125" style="1" bestFit="1" customWidth="1"/>
    <col min="23" max="16384" width="11.42578125" style="1"/>
  </cols>
  <sheetData>
    <row r="1" spans="1:22" s="108" customFormat="1" ht="90" customHeight="1" x14ac:dyDescent="0.25">
      <c r="A1" s="109"/>
      <c r="B1" s="109"/>
      <c r="C1" s="109"/>
      <c r="D1" s="109"/>
      <c r="E1" s="253"/>
      <c r="F1" s="254"/>
      <c r="G1" s="254"/>
      <c r="H1" s="254"/>
      <c r="I1" s="253"/>
      <c r="J1" s="253"/>
      <c r="K1" s="253"/>
      <c r="L1" s="253"/>
      <c r="M1" s="254"/>
      <c r="O1" s="109"/>
      <c r="P1" s="109"/>
      <c r="Q1" s="109"/>
      <c r="R1" s="109"/>
    </row>
    <row r="2" spans="1:22" s="108" customFormat="1" ht="45" customHeight="1" x14ac:dyDescent="0.5">
      <c r="A2" s="251" t="s">
        <v>34</v>
      </c>
      <c r="B2" s="251"/>
      <c r="C2" s="251"/>
      <c r="D2" s="251"/>
      <c r="E2" s="251"/>
      <c r="F2" s="252"/>
      <c r="G2" s="252"/>
      <c r="H2" s="252"/>
      <c r="I2" s="251"/>
      <c r="J2" s="251"/>
      <c r="K2" s="251"/>
      <c r="L2" s="251"/>
      <c r="M2" s="252"/>
      <c r="O2" s="109"/>
      <c r="P2" s="109"/>
      <c r="Q2" s="109"/>
      <c r="R2" s="109"/>
    </row>
    <row r="3" spans="1:22" s="108" customFormat="1" ht="62.25" customHeight="1" thickBot="1" x14ac:dyDescent="0.5">
      <c r="A3" s="255" t="s">
        <v>302</v>
      </c>
      <c r="B3" s="256"/>
      <c r="C3" s="256"/>
      <c r="D3" s="256"/>
      <c r="E3" s="256"/>
      <c r="F3" s="257"/>
      <c r="G3" s="257"/>
      <c r="H3" s="257"/>
      <c r="I3" s="256"/>
      <c r="J3" s="256"/>
      <c r="K3" s="256"/>
      <c r="L3" s="256"/>
      <c r="M3" s="257"/>
      <c r="O3" s="109"/>
      <c r="P3" s="109"/>
      <c r="Q3" s="109"/>
      <c r="R3" s="109"/>
    </row>
    <row r="4" spans="1:22" s="108" customFormat="1" ht="15.75" thickTop="1" x14ac:dyDescent="0.25">
      <c r="A4" s="12"/>
      <c r="B4" s="12"/>
      <c r="C4" s="12"/>
      <c r="D4" s="1"/>
      <c r="E4" s="1"/>
      <c r="F4" s="110"/>
      <c r="G4" s="12"/>
      <c r="H4" s="12"/>
      <c r="I4" s="1"/>
      <c r="J4" s="1"/>
      <c r="K4" s="12"/>
      <c r="L4" s="12"/>
      <c r="M4" s="110"/>
      <c r="O4" s="109"/>
      <c r="P4" s="109"/>
      <c r="Q4" s="109"/>
      <c r="R4" s="109"/>
    </row>
    <row r="5" spans="1:22" s="108" customFormat="1" ht="27" thickBot="1" x14ac:dyDescent="0.45">
      <c r="A5" s="258" t="s">
        <v>298</v>
      </c>
      <c r="B5" s="258"/>
      <c r="C5" s="258"/>
      <c r="D5" s="258"/>
      <c r="E5" s="258"/>
      <c r="F5" s="258"/>
      <c r="G5" s="258"/>
      <c r="H5" s="258"/>
      <c r="I5" s="258"/>
      <c r="J5" s="258"/>
      <c r="K5" s="258"/>
      <c r="L5" s="258"/>
      <c r="M5" s="258"/>
      <c r="O5" s="109"/>
      <c r="P5" s="109"/>
      <c r="Q5" s="109"/>
      <c r="R5" s="109"/>
    </row>
    <row r="6" spans="1:22" s="108" customFormat="1" ht="17.25" customHeight="1" thickBot="1" x14ac:dyDescent="0.35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259" t="s">
        <v>36</v>
      </c>
      <c r="L6" s="260"/>
      <c r="M6" s="261"/>
      <c r="N6" s="109"/>
      <c r="O6" s="158" t="s">
        <v>57</v>
      </c>
      <c r="P6" s="150" t="s">
        <v>58</v>
      </c>
      <c r="Q6" s="151" t="s">
        <v>99</v>
      </c>
      <c r="R6" s="168" t="s">
        <v>396</v>
      </c>
      <c r="S6" s="109"/>
      <c r="T6" s="109"/>
      <c r="U6" s="109"/>
      <c r="V6" s="109"/>
    </row>
    <row r="7" spans="1:22" s="221" customFormat="1" ht="56.25" customHeight="1" thickBot="1" x14ac:dyDescent="0.4">
      <c r="A7" s="214" t="s">
        <v>28</v>
      </c>
      <c r="B7" s="215" t="s">
        <v>4</v>
      </c>
      <c r="C7" s="215" t="s">
        <v>3</v>
      </c>
      <c r="D7" s="214" t="s">
        <v>5</v>
      </c>
      <c r="E7" s="214" t="s">
        <v>427</v>
      </c>
      <c r="F7" s="214" t="s">
        <v>6</v>
      </c>
      <c r="G7" s="216" t="s">
        <v>428</v>
      </c>
      <c r="H7" s="217" t="s">
        <v>429</v>
      </c>
      <c r="I7" s="218" t="s">
        <v>431</v>
      </c>
      <c r="J7" s="214" t="s">
        <v>432</v>
      </c>
      <c r="K7" s="219" t="s">
        <v>433</v>
      </c>
      <c r="L7" s="219" t="s">
        <v>434</v>
      </c>
      <c r="M7" s="220" t="s">
        <v>63</v>
      </c>
      <c r="O7" s="222" t="s">
        <v>299</v>
      </c>
      <c r="P7" s="223" t="s">
        <v>300</v>
      </c>
      <c r="Q7" s="224" t="s">
        <v>301</v>
      </c>
      <c r="R7" s="225" t="s">
        <v>397</v>
      </c>
      <c r="T7" s="226" t="s">
        <v>446</v>
      </c>
      <c r="U7" s="226" t="s">
        <v>447</v>
      </c>
      <c r="V7" s="226" t="s">
        <v>449</v>
      </c>
    </row>
    <row r="8" spans="1:22" ht="26.1" customHeight="1" x14ac:dyDescent="0.35">
      <c r="A8" s="111">
        <v>1</v>
      </c>
      <c r="B8" s="112" t="s">
        <v>206</v>
      </c>
      <c r="C8" s="137">
        <v>74868345</v>
      </c>
      <c r="D8" s="113" t="s">
        <v>61</v>
      </c>
      <c r="E8" s="114" t="s">
        <v>29</v>
      </c>
      <c r="F8" s="136" t="s">
        <v>15</v>
      </c>
      <c r="G8" s="115">
        <v>84.000000000000014</v>
      </c>
      <c r="H8" s="115">
        <v>86.649999999999991</v>
      </c>
      <c r="I8" s="116">
        <v>84.800000000000011</v>
      </c>
      <c r="J8" s="113" t="s">
        <v>23</v>
      </c>
      <c r="K8" s="117" t="s">
        <v>27</v>
      </c>
      <c r="L8" s="117" t="s">
        <v>53</v>
      </c>
      <c r="M8" s="118" t="s">
        <v>53</v>
      </c>
      <c r="O8" s="156">
        <v>0.79999999999999993</v>
      </c>
      <c r="P8" s="156">
        <v>1</v>
      </c>
      <c r="Q8" s="156">
        <v>0.77199999999999991</v>
      </c>
      <c r="R8" s="156"/>
      <c r="T8" s="113">
        <v>978081314</v>
      </c>
      <c r="U8" s="113"/>
      <c r="V8" s="113" t="s">
        <v>207</v>
      </c>
    </row>
    <row r="9" spans="1:22" ht="26.1" customHeight="1" x14ac:dyDescent="0.35">
      <c r="A9" s="117">
        <v>2</v>
      </c>
      <c r="B9" s="112" t="s">
        <v>135</v>
      </c>
      <c r="C9" s="137">
        <v>77680909</v>
      </c>
      <c r="D9" s="113" t="s">
        <v>303</v>
      </c>
      <c r="E9" s="114" t="s">
        <v>29</v>
      </c>
      <c r="F9" s="136" t="s">
        <v>13</v>
      </c>
      <c r="G9" s="115">
        <v>80</v>
      </c>
      <c r="H9" s="115">
        <v>93.350000000000009</v>
      </c>
      <c r="I9" s="116">
        <v>84.000000000000014</v>
      </c>
      <c r="J9" s="113" t="s">
        <v>23</v>
      </c>
      <c r="K9" s="117" t="s">
        <v>27</v>
      </c>
      <c r="L9" s="117" t="s">
        <v>53</v>
      </c>
      <c r="M9" s="118" t="s">
        <v>53</v>
      </c>
      <c r="O9" s="156">
        <v>0.85999999999999988</v>
      </c>
      <c r="P9" s="157">
        <v>0.92999999999999994</v>
      </c>
      <c r="Q9" s="157">
        <v>0.74399999999999999</v>
      </c>
      <c r="R9" s="157"/>
      <c r="T9" s="113">
        <v>957348406</v>
      </c>
      <c r="U9" s="113"/>
      <c r="V9" s="113" t="s">
        <v>136</v>
      </c>
    </row>
    <row r="10" spans="1:22" ht="26.1" customHeight="1" x14ac:dyDescent="0.35">
      <c r="A10" s="111">
        <v>3</v>
      </c>
      <c r="B10" s="112" t="s">
        <v>142</v>
      </c>
      <c r="C10" s="137">
        <v>71985510</v>
      </c>
      <c r="D10" s="113" t="s">
        <v>304</v>
      </c>
      <c r="E10" s="114" t="s">
        <v>29</v>
      </c>
      <c r="F10" s="136" t="s">
        <v>11</v>
      </c>
      <c r="G10" s="115">
        <v>85.350000000000009</v>
      </c>
      <c r="H10" s="115">
        <v>80</v>
      </c>
      <c r="I10" s="116">
        <v>83.75</v>
      </c>
      <c r="J10" s="113" t="s">
        <v>23</v>
      </c>
      <c r="K10" s="117" t="s">
        <v>27</v>
      </c>
      <c r="L10" s="117" t="s">
        <v>53</v>
      </c>
      <c r="M10" s="118" t="s">
        <v>53</v>
      </c>
      <c r="O10" s="156">
        <v>0.90666666666666673</v>
      </c>
      <c r="P10" s="157">
        <v>0.66999999999999993</v>
      </c>
      <c r="Q10" s="157">
        <v>0.85599999999999998</v>
      </c>
      <c r="R10" s="157"/>
      <c r="T10" s="113">
        <v>939764948</v>
      </c>
      <c r="U10" s="113"/>
      <c r="V10" s="113" t="s">
        <v>143</v>
      </c>
    </row>
    <row r="11" spans="1:22" ht="26.1" customHeight="1" x14ac:dyDescent="0.35">
      <c r="A11" s="117">
        <v>4</v>
      </c>
      <c r="B11" s="112" t="s">
        <v>289</v>
      </c>
      <c r="C11" s="137">
        <v>72763703</v>
      </c>
      <c r="D11" s="113" t="s">
        <v>305</v>
      </c>
      <c r="E11" s="114" t="s">
        <v>29</v>
      </c>
      <c r="F11" s="136" t="s">
        <v>13</v>
      </c>
      <c r="G11" s="115">
        <v>81.349999999999994</v>
      </c>
      <c r="H11" s="115">
        <v>86.649999999999991</v>
      </c>
      <c r="I11" s="116">
        <v>82.95</v>
      </c>
      <c r="J11" s="113" t="s">
        <v>23</v>
      </c>
      <c r="K11" s="117" t="s">
        <v>27</v>
      </c>
      <c r="L11" s="117" t="s">
        <v>53</v>
      </c>
      <c r="M11" s="118" t="s">
        <v>53</v>
      </c>
      <c r="O11" s="156">
        <v>0.7533333333333333</v>
      </c>
      <c r="P11" s="157">
        <v>1</v>
      </c>
      <c r="Q11" s="157">
        <v>0.77199999999999991</v>
      </c>
      <c r="R11" s="157"/>
      <c r="T11" s="113">
        <v>999716060</v>
      </c>
      <c r="U11" s="113"/>
      <c r="V11" s="113" t="s">
        <v>290</v>
      </c>
    </row>
    <row r="12" spans="1:22" ht="26.1" customHeight="1" x14ac:dyDescent="0.35">
      <c r="A12" s="111">
        <v>5</v>
      </c>
      <c r="B12" s="112" t="s">
        <v>176</v>
      </c>
      <c r="C12" s="137">
        <v>71870376</v>
      </c>
      <c r="D12" s="113" t="s">
        <v>306</v>
      </c>
      <c r="E12" s="114" t="s">
        <v>29</v>
      </c>
      <c r="F12" s="136" t="s">
        <v>17</v>
      </c>
      <c r="G12" s="115">
        <v>77.350000000000009</v>
      </c>
      <c r="H12" s="115">
        <v>93.350000000000009</v>
      </c>
      <c r="I12" s="116">
        <v>82.15</v>
      </c>
      <c r="J12" s="113" t="s">
        <v>23</v>
      </c>
      <c r="K12" s="117" t="s">
        <v>27</v>
      </c>
      <c r="L12" s="117" t="s">
        <v>53</v>
      </c>
      <c r="M12" s="118" t="s">
        <v>53</v>
      </c>
      <c r="O12" s="156">
        <v>0.79999999999999993</v>
      </c>
      <c r="P12" s="157">
        <v>0.65999999999999992</v>
      </c>
      <c r="Q12" s="157">
        <v>0.85999999999999988</v>
      </c>
      <c r="R12" s="157"/>
      <c r="T12" s="113">
        <v>955658512</v>
      </c>
      <c r="U12" s="113"/>
      <c r="V12" s="113" t="s">
        <v>177</v>
      </c>
    </row>
    <row r="13" spans="1:22" ht="26.1" customHeight="1" x14ac:dyDescent="0.35">
      <c r="A13" s="117">
        <v>6</v>
      </c>
      <c r="B13" s="112" t="s">
        <v>154</v>
      </c>
      <c r="C13" s="137">
        <v>71919761</v>
      </c>
      <c r="D13" s="113" t="s">
        <v>307</v>
      </c>
      <c r="E13" s="114" t="s">
        <v>29</v>
      </c>
      <c r="F13" s="136" t="s">
        <v>17</v>
      </c>
      <c r="G13" s="115">
        <v>77.350000000000009</v>
      </c>
      <c r="H13" s="115">
        <v>93.350000000000009</v>
      </c>
      <c r="I13" s="116">
        <v>82.15</v>
      </c>
      <c r="J13" s="113" t="s">
        <v>23</v>
      </c>
      <c r="K13" s="117" t="s">
        <v>27</v>
      </c>
      <c r="L13" s="117" t="s">
        <v>53</v>
      </c>
      <c r="M13" s="118" t="s">
        <v>53</v>
      </c>
      <c r="O13" s="156">
        <v>0.70666666666666655</v>
      </c>
      <c r="P13" s="157">
        <v>0.65999999999999992</v>
      </c>
      <c r="Q13" s="157">
        <v>0.8879999999999999</v>
      </c>
      <c r="R13" s="157"/>
      <c r="T13" s="113">
        <v>917143640</v>
      </c>
      <c r="U13" s="113"/>
      <c r="V13" s="113" t="s">
        <v>155</v>
      </c>
    </row>
    <row r="14" spans="1:22" ht="26.1" customHeight="1" x14ac:dyDescent="0.35">
      <c r="A14" s="111">
        <v>7</v>
      </c>
      <c r="B14" s="112" t="s">
        <v>178</v>
      </c>
      <c r="C14" s="137">
        <v>73829071</v>
      </c>
      <c r="D14" s="113" t="s">
        <v>89</v>
      </c>
      <c r="E14" s="114" t="s">
        <v>29</v>
      </c>
      <c r="F14" s="136" t="s">
        <v>19</v>
      </c>
      <c r="G14" s="115">
        <v>73.350000000000009</v>
      </c>
      <c r="H14" s="115">
        <v>96.649999999999991</v>
      </c>
      <c r="I14" s="116">
        <v>80.349999999999994</v>
      </c>
      <c r="J14" s="113" t="s">
        <v>23</v>
      </c>
      <c r="K14" s="117" t="s">
        <v>27</v>
      </c>
      <c r="L14" s="117" t="s">
        <v>53</v>
      </c>
      <c r="M14" s="118" t="s">
        <v>53</v>
      </c>
      <c r="O14" s="156">
        <v>0.90666666666666673</v>
      </c>
      <c r="P14" s="157">
        <v>0.65999999999999992</v>
      </c>
      <c r="Q14" s="157">
        <v>0.80400000000000005</v>
      </c>
      <c r="R14" s="157"/>
      <c r="T14" s="113">
        <v>932036280</v>
      </c>
      <c r="U14" s="113"/>
      <c r="V14" s="113" t="s">
        <v>179</v>
      </c>
    </row>
    <row r="15" spans="1:22" ht="26.1" customHeight="1" x14ac:dyDescent="0.35">
      <c r="A15" s="117">
        <v>8</v>
      </c>
      <c r="B15" s="112" t="s">
        <v>236</v>
      </c>
      <c r="C15" s="137">
        <v>47080538</v>
      </c>
      <c r="D15" s="113" t="s">
        <v>308</v>
      </c>
      <c r="E15" s="114" t="s">
        <v>29</v>
      </c>
      <c r="F15" s="136" t="s">
        <v>13</v>
      </c>
      <c r="G15" s="115">
        <v>72</v>
      </c>
      <c r="H15" s="115">
        <v>93.350000000000009</v>
      </c>
      <c r="I15" s="116">
        <v>78.400000000000006</v>
      </c>
      <c r="J15" s="113" t="s">
        <v>23</v>
      </c>
      <c r="K15" s="117" t="s">
        <v>27</v>
      </c>
      <c r="L15" s="117" t="s">
        <v>53</v>
      </c>
      <c r="M15" s="118" t="s">
        <v>53</v>
      </c>
      <c r="O15" s="156">
        <v>0.72</v>
      </c>
      <c r="P15" s="157">
        <v>0.72</v>
      </c>
      <c r="Q15" s="157">
        <v>0.91199999999999992</v>
      </c>
      <c r="R15" s="157"/>
      <c r="T15" s="113">
        <v>990721890</v>
      </c>
      <c r="U15" s="113"/>
      <c r="V15" s="113" t="s">
        <v>237</v>
      </c>
    </row>
    <row r="16" spans="1:22" ht="26.1" customHeight="1" x14ac:dyDescent="0.35">
      <c r="A16" s="111">
        <v>9</v>
      </c>
      <c r="B16" s="112" t="s">
        <v>220</v>
      </c>
      <c r="C16" s="137">
        <v>75248306</v>
      </c>
      <c r="D16" s="113" t="s">
        <v>309</v>
      </c>
      <c r="E16" s="114" t="s">
        <v>29</v>
      </c>
      <c r="F16" s="136" t="s">
        <v>14</v>
      </c>
      <c r="G16" s="115">
        <v>70.650000000000006</v>
      </c>
      <c r="H16" s="115">
        <v>91.649999999999991</v>
      </c>
      <c r="I16" s="116">
        <v>76.95</v>
      </c>
      <c r="J16" s="113" t="s">
        <v>23</v>
      </c>
      <c r="K16" s="117" t="s">
        <v>27</v>
      </c>
      <c r="L16" s="117" t="s">
        <v>53</v>
      </c>
      <c r="M16" s="118" t="s">
        <v>53</v>
      </c>
      <c r="O16" s="156">
        <v>0.84666666666666668</v>
      </c>
      <c r="P16" s="157">
        <v>0.76999999999999991</v>
      </c>
      <c r="Q16" s="157">
        <v>0.748</v>
      </c>
      <c r="R16" s="157"/>
      <c r="T16" s="113">
        <v>973636963</v>
      </c>
      <c r="U16" s="113"/>
      <c r="V16" s="113" t="s">
        <v>221</v>
      </c>
    </row>
    <row r="17" spans="1:22" ht="26.1" customHeight="1" x14ac:dyDescent="0.35">
      <c r="A17" s="117">
        <v>10</v>
      </c>
      <c r="B17" s="112" t="s">
        <v>133</v>
      </c>
      <c r="C17" s="137">
        <v>74527915</v>
      </c>
      <c r="D17" s="113" t="s">
        <v>310</v>
      </c>
      <c r="E17" s="114" t="s">
        <v>29</v>
      </c>
      <c r="F17" s="136" t="s">
        <v>13</v>
      </c>
      <c r="G17" s="115">
        <v>66.649999999999991</v>
      </c>
      <c r="H17" s="115">
        <v>100</v>
      </c>
      <c r="I17" s="116">
        <v>76.649999999999991</v>
      </c>
      <c r="J17" s="113" t="s">
        <v>23</v>
      </c>
      <c r="K17" s="117" t="s">
        <v>27</v>
      </c>
      <c r="L17" s="117" t="s">
        <v>53</v>
      </c>
      <c r="M17" s="118" t="s">
        <v>53</v>
      </c>
      <c r="O17" s="156">
        <v>0.72</v>
      </c>
      <c r="P17" s="157">
        <v>0.64999999999999991</v>
      </c>
      <c r="Q17" s="157">
        <v>0.91599999999999993</v>
      </c>
      <c r="R17" s="157"/>
      <c r="T17" s="113">
        <v>943439683</v>
      </c>
      <c r="U17" s="113"/>
      <c r="V17" s="113" t="s">
        <v>134</v>
      </c>
    </row>
    <row r="18" spans="1:22" ht="26.1" customHeight="1" x14ac:dyDescent="0.35">
      <c r="A18" s="111">
        <v>11</v>
      </c>
      <c r="B18" s="112" t="s">
        <v>234</v>
      </c>
      <c r="C18" s="137">
        <v>75661382</v>
      </c>
      <c r="D18" s="113" t="s">
        <v>92</v>
      </c>
      <c r="E18" s="114" t="s">
        <v>29</v>
      </c>
      <c r="F18" s="136" t="s">
        <v>13</v>
      </c>
      <c r="G18" s="115">
        <v>69.349999999999994</v>
      </c>
      <c r="H18" s="115">
        <v>93.350000000000009</v>
      </c>
      <c r="I18" s="116">
        <v>76.550000000000011</v>
      </c>
      <c r="J18" s="113" t="s">
        <v>23</v>
      </c>
      <c r="K18" s="117" t="s">
        <v>27</v>
      </c>
      <c r="L18" s="117" t="s">
        <v>53</v>
      </c>
      <c r="M18" s="118" t="s">
        <v>53</v>
      </c>
      <c r="O18" s="156">
        <v>0.95333333333333337</v>
      </c>
      <c r="P18" s="157">
        <v>0.64999999999999991</v>
      </c>
      <c r="Q18" s="157">
        <v>0.63200000000000001</v>
      </c>
      <c r="R18" s="157"/>
      <c r="T18" s="113">
        <v>980257577</v>
      </c>
      <c r="U18" s="113"/>
      <c r="V18" s="113" t="s">
        <v>235</v>
      </c>
    </row>
    <row r="19" spans="1:22" ht="26.1" customHeight="1" x14ac:dyDescent="0.35">
      <c r="A19" s="117">
        <v>12</v>
      </c>
      <c r="B19" s="112" t="s">
        <v>254</v>
      </c>
      <c r="C19" s="137">
        <v>72229898</v>
      </c>
      <c r="D19" s="113" t="s">
        <v>311</v>
      </c>
      <c r="E19" s="114" t="s">
        <v>29</v>
      </c>
      <c r="F19" s="136" t="s">
        <v>15</v>
      </c>
      <c r="G19" s="115">
        <v>74.649999999999991</v>
      </c>
      <c r="H19" s="115">
        <v>80</v>
      </c>
      <c r="I19" s="116">
        <v>76.25</v>
      </c>
      <c r="J19" s="113" t="s">
        <v>23</v>
      </c>
      <c r="K19" s="117" t="s">
        <v>26</v>
      </c>
      <c r="L19" s="117" t="s">
        <v>99</v>
      </c>
      <c r="M19" s="118" t="s">
        <v>53</v>
      </c>
      <c r="O19" s="156">
        <v>0.84666666666666668</v>
      </c>
      <c r="P19" s="157">
        <v>0.94</v>
      </c>
      <c r="Q19" s="157">
        <v>0.52</v>
      </c>
      <c r="R19" s="157"/>
      <c r="T19" s="113">
        <v>952849179</v>
      </c>
      <c r="U19" s="113"/>
      <c r="V19" s="113" t="s">
        <v>255</v>
      </c>
    </row>
    <row r="20" spans="1:22" ht="26.1" customHeight="1" x14ac:dyDescent="0.35">
      <c r="A20" s="111">
        <v>13</v>
      </c>
      <c r="B20" s="112" t="s">
        <v>144</v>
      </c>
      <c r="C20" s="137">
        <v>71574273</v>
      </c>
      <c r="D20" s="113" t="s">
        <v>312</v>
      </c>
      <c r="E20" s="114" t="s">
        <v>29</v>
      </c>
      <c r="F20" s="136" t="s">
        <v>13</v>
      </c>
      <c r="G20" s="115">
        <v>64</v>
      </c>
      <c r="H20" s="115">
        <v>100</v>
      </c>
      <c r="I20" s="116">
        <v>74.8</v>
      </c>
      <c r="J20" s="113" t="s">
        <v>23</v>
      </c>
      <c r="K20" s="117" t="s">
        <v>27</v>
      </c>
      <c r="L20" s="117" t="s">
        <v>53</v>
      </c>
      <c r="M20" s="118" t="s">
        <v>53</v>
      </c>
      <c r="O20" s="156">
        <v>0.76666666666666661</v>
      </c>
      <c r="P20" s="157">
        <v>0.64999999999999991</v>
      </c>
      <c r="Q20" s="157">
        <v>0.80400000000000005</v>
      </c>
      <c r="R20" s="157"/>
      <c r="T20" s="113">
        <v>978815140</v>
      </c>
      <c r="U20" s="113"/>
      <c r="V20" s="113" t="s">
        <v>145</v>
      </c>
    </row>
    <row r="21" spans="1:22" ht="26.1" customHeight="1" x14ac:dyDescent="0.35">
      <c r="A21" s="117">
        <v>14</v>
      </c>
      <c r="B21" s="112" t="s">
        <v>262</v>
      </c>
      <c r="C21" s="137">
        <v>60775617</v>
      </c>
      <c r="D21" s="113" t="s">
        <v>313</v>
      </c>
      <c r="E21" s="114" t="s">
        <v>29</v>
      </c>
      <c r="F21" s="136" t="s">
        <v>20</v>
      </c>
      <c r="G21" s="115">
        <v>69.349999999999994</v>
      </c>
      <c r="H21" s="115">
        <v>86.649999999999991</v>
      </c>
      <c r="I21" s="116">
        <v>74.550000000000011</v>
      </c>
      <c r="J21" s="113" t="s">
        <v>23</v>
      </c>
      <c r="K21" s="117" t="s">
        <v>27</v>
      </c>
      <c r="L21" s="117" t="s">
        <v>53</v>
      </c>
      <c r="M21" s="118" t="s">
        <v>53</v>
      </c>
      <c r="O21" s="156">
        <v>0.84666666666666668</v>
      </c>
      <c r="P21" s="157">
        <v>0.72</v>
      </c>
      <c r="Q21" s="157">
        <v>0.63200000000000001</v>
      </c>
      <c r="R21" s="157"/>
      <c r="T21" s="113">
        <v>997951124</v>
      </c>
      <c r="U21" s="113"/>
      <c r="V21" s="113" t="s">
        <v>263</v>
      </c>
    </row>
    <row r="22" spans="1:22" ht="26.1" customHeight="1" x14ac:dyDescent="0.35">
      <c r="A22" s="111">
        <v>15</v>
      </c>
      <c r="B22" s="112" t="s">
        <v>112</v>
      </c>
      <c r="C22" s="137">
        <v>71576090</v>
      </c>
      <c r="D22" s="113" t="s">
        <v>314</v>
      </c>
      <c r="E22" s="114" t="s">
        <v>29</v>
      </c>
      <c r="F22" s="136" t="s">
        <v>13</v>
      </c>
      <c r="G22" s="115">
        <v>62.649999999999991</v>
      </c>
      <c r="H22" s="115">
        <v>100</v>
      </c>
      <c r="I22" s="116">
        <v>73.849999999999994</v>
      </c>
      <c r="J22" s="113" t="s">
        <v>23</v>
      </c>
      <c r="K22" s="117" t="s">
        <v>27</v>
      </c>
      <c r="L22" s="117" t="s">
        <v>53</v>
      </c>
      <c r="M22" s="118" t="s">
        <v>53</v>
      </c>
      <c r="O22" s="156">
        <v>0.76666666666666661</v>
      </c>
      <c r="P22" s="157">
        <v>0.64999999999999991</v>
      </c>
      <c r="Q22" s="157">
        <v>0.77600000000000002</v>
      </c>
      <c r="R22" s="157"/>
      <c r="T22" s="113">
        <v>915917953</v>
      </c>
      <c r="U22" s="113"/>
      <c r="V22" s="113" t="s">
        <v>113</v>
      </c>
    </row>
    <row r="23" spans="1:22" ht="26.1" customHeight="1" x14ac:dyDescent="0.35">
      <c r="A23" s="117">
        <v>16</v>
      </c>
      <c r="B23" s="112" t="s">
        <v>108</v>
      </c>
      <c r="C23" s="137">
        <v>75925386</v>
      </c>
      <c r="D23" s="113" t="s">
        <v>315</v>
      </c>
      <c r="E23" s="114" t="s">
        <v>29</v>
      </c>
      <c r="F23" s="136" t="s">
        <v>1</v>
      </c>
      <c r="G23" s="115">
        <v>65.349999999999994</v>
      </c>
      <c r="H23" s="115">
        <v>93.350000000000009</v>
      </c>
      <c r="I23" s="116">
        <v>73.75</v>
      </c>
      <c r="J23" s="113" t="s">
        <v>23</v>
      </c>
      <c r="K23" s="117" t="s">
        <v>27</v>
      </c>
      <c r="L23" s="117" t="s">
        <v>53</v>
      </c>
      <c r="M23" s="118" t="s">
        <v>53</v>
      </c>
      <c r="O23" s="156">
        <v>0.90666666666666673</v>
      </c>
      <c r="P23" s="157">
        <v>0.65999999999999992</v>
      </c>
      <c r="Q23" s="157">
        <v>0.60799999999999998</v>
      </c>
      <c r="R23" s="157"/>
      <c r="T23" s="113">
        <v>976408654</v>
      </c>
      <c r="U23" s="113"/>
      <c r="V23" s="113" t="s">
        <v>109</v>
      </c>
    </row>
    <row r="24" spans="1:22" ht="26.1" customHeight="1" x14ac:dyDescent="0.35">
      <c r="A24" s="111">
        <v>17</v>
      </c>
      <c r="B24" s="112" t="s">
        <v>168</v>
      </c>
      <c r="C24" s="137">
        <v>73147640</v>
      </c>
      <c r="D24" s="113" t="s">
        <v>88</v>
      </c>
      <c r="E24" s="114" t="s">
        <v>29</v>
      </c>
      <c r="F24" s="136" t="s">
        <v>20</v>
      </c>
      <c r="G24" s="115">
        <v>68</v>
      </c>
      <c r="H24" s="115">
        <v>86.649999999999991</v>
      </c>
      <c r="I24" s="116">
        <v>73.599999999999994</v>
      </c>
      <c r="J24" s="113" t="s">
        <v>23</v>
      </c>
      <c r="K24" s="117" t="s">
        <v>27</v>
      </c>
      <c r="L24" s="117" t="s">
        <v>53</v>
      </c>
      <c r="M24" s="118" t="s">
        <v>53</v>
      </c>
      <c r="O24" s="156">
        <v>0.84666666666666668</v>
      </c>
      <c r="P24" s="157">
        <v>0.73</v>
      </c>
      <c r="Q24" s="157">
        <v>0.60799999999999998</v>
      </c>
      <c r="R24" s="157"/>
      <c r="T24" s="113">
        <v>951796199</v>
      </c>
      <c r="U24" s="113"/>
      <c r="V24" s="113" t="s">
        <v>68</v>
      </c>
    </row>
    <row r="25" spans="1:22" ht="26.1" customHeight="1" x14ac:dyDescent="0.35">
      <c r="A25" s="117">
        <v>18</v>
      </c>
      <c r="B25" s="112" t="s">
        <v>194</v>
      </c>
      <c r="C25" s="137">
        <v>71131379</v>
      </c>
      <c r="D25" s="113" t="s">
        <v>316</v>
      </c>
      <c r="E25" s="114" t="s">
        <v>29</v>
      </c>
      <c r="F25" s="136" t="s">
        <v>13</v>
      </c>
      <c r="G25" s="115">
        <v>64</v>
      </c>
      <c r="H25" s="115">
        <v>93.350000000000009</v>
      </c>
      <c r="I25" s="116">
        <v>72.8</v>
      </c>
      <c r="J25" s="113" t="s">
        <v>23</v>
      </c>
      <c r="K25" s="117" t="s">
        <v>26</v>
      </c>
      <c r="L25" s="117" t="s">
        <v>99</v>
      </c>
      <c r="M25" s="118" t="s">
        <v>53</v>
      </c>
      <c r="O25" s="156">
        <v>0.76666666666666661</v>
      </c>
      <c r="P25" s="157">
        <v>0.85999999999999988</v>
      </c>
      <c r="Q25" s="157">
        <v>0.57599999999999996</v>
      </c>
      <c r="R25" s="157"/>
      <c r="T25" s="113">
        <v>980036600</v>
      </c>
      <c r="U25" s="113"/>
      <c r="V25" s="113" t="s">
        <v>195</v>
      </c>
    </row>
    <row r="26" spans="1:22" ht="26.1" customHeight="1" x14ac:dyDescent="0.35">
      <c r="A26" s="111">
        <v>19</v>
      </c>
      <c r="B26" s="112" t="s">
        <v>264</v>
      </c>
      <c r="C26" s="137">
        <v>72651445</v>
      </c>
      <c r="D26" s="113" t="s">
        <v>317</v>
      </c>
      <c r="E26" s="114" t="s">
        <v>29</v>
      </c>
      <c r="F26" s="136" t="s">
        <v>14</v>
      </c>
      <c r="G26" s="115">
        <v>64</v>
      </c>
      <c r="H26" s="115">
        <v>93.350000000000009</v>
      </c>
      <c r="I26" s="116">
        <v>72.8</v>
      </c>
      <c r="J26" s="113" t="s">
        <v>23</v>
      </c>
      <c r="K26" s="117" t="s">
        <v>26</v>
      </c>
      <c r="L26" s="117" t="s">
        <v>318</v>
      </c>
      <c r="M26" s="118" t="s">
        <v>53</v>
      </c>
      <c r="O26" s="156">
        <v>0.84666666666666668</v>
      </c>
      <c r="P26" s="157">
        <v>0.44999999999999996</v>
      </c>
      <c r="Q26" s="157">
        <v>0.748</v>
      </c>
      <c r="R26" s="157"/>
      <c r="T26" s="113">
        <v>978883316</v>
      </c>
      <c r="U26" s="113"/>
      <c r="V26" s="113" t="s">
        <v>74</v>
      </c>
    </row>
    <row r="27" spans="1:22" ht="26.1" customHeight="1" x14ac:dyDescent="0.35">
      <c r="A27" s="117">
        <v>20</v>
      </c>
      <c r="B27" s="112" t="s">
        <v>214</v>
      </c>
      <c r="C27" s="137">
        <v>77161148</v>
      </c>
      <c r="D27" s="113" t="s">
        <v>319</v>
      </c>
      <c r="E27" s="114" t="s">
        <v>29</v>
      </c>
      <c r="F27" s="136" t="s">
        <v>15</v>
      </c>
      <c r="G27" s="115">
        <v>62.649999999999991</v>
      </c>
      <c r="H27" s="115">
        <v>93.350000000000009</v>
      </c>
      <c r="I27" s="116">
        <v>71.849999999999994</v>
      </c>
      <c r="J27" s="113" t="s">
        <v>23</v>
      </c>
      <c r="K27" s="117" t="s">
        <v>26</v>
      </c>
      <c r="L27" s="117" t="s">
        <v>99</v>
      </c>
      <c r="M27" s="118" t="s">
        <v>53</v>
      </c>
      <c r="O27" s="156">
        <v>0.89333333333333331</v>
      </c>
      <c r="P27" s="157">
        <v>0.72</v>
      </c>
      <c r="Q27" s="157">
        <v>0.496</v>
      </c>
      <c r="R27" s="157"/>
      <c r="T27" s="113">
        <v>994143804</v>
      </c>
      <c r="U27" s="113"/>
      <c r="V27" s="113" t="s">
        <v>215</v>
      </c>
    </row>
    <row r="28" spans="1:22" ht="26.1" customHeight="1" x14ac:dyDescent="0.35">
      <c r="A28" s="111">
        <v>21</v>
      </c>
      <c r="B28" s="112" t="s">
        <v>126</v>
      </c>
      <c r="C28" s="137">
        <v>71076623</v>
      </c>
      <c r="D28" s="113" t="s">
        <v>81</v>
      </c>
      <c r="E28" s="114" t="s">
        <v>29</v>
      </c>
      <c r="F28" s="136" t="s">
        <v>15</v>
      </c>
      <c r="G28" s="115">
        <v>61.349999999999994</v>
      </c>
      <c r="H28" s="115">
        <v>93.350000000000009</v>
      </c>
      <c r="I28" s="116">
        <v>70.95</v>
      </c>
      <c r="J28" s="113" t="s">
        <v>23</v>
      </c>
      <c r="K28" s="117" t="s">
        <v>26</v>
      </c>
      <c r="L28" s="117" t="s">
        <v>99</v>
      </c>
      <c r="M28" s="118" t="s">
        <v>53</v>
      </c>
      <c r="O28" s="156">
        <v>0.76666666666666661</v>
      </c>
      <c r="P28" s="157">
        <v>0.78999999999999992</v>
      </c>
      <c r="Q28" s="157">
        <v>0.57599999999999996</v>
      </c>
      <c r="R28" s="157"/>
      <c r="T28" s="113">
        <v>935813834</v>
      </c>
      <c r="U28" s="113"/>
      <c r="V28" s="113" t="s">
        <v>64</v>
      </c>
    </row>
    <row r="29" spans="1:22" ht="26.1" customHeight="1" x14ac:dyDescent="0.35">
      <c r="A29" s="117">
        <v>22</v>
      </c>
      <c r="B29" s="112" t="s">
        <v>283</v>
      </c>
      <c r="C29" s="137">
        <v>72961848</v>
      </c>
      <c r="D29" s="113" t="s">
        <v>320</v>
      </c>
      <c r="E29" s="114" t="s">
        <v>29</v>
      </c>
      <c r="F29" s="136" t="s">
        <v>18</v>
      </c>
      <c r="G29" s="115">
        <v>69.349999999999994</v>
      </c>
      <c r="H29" s="115">
        <v>73.350000000000009</v>
      </c>
      <c r="I29" s="116">
        <v>70.55</v>
      </c>
      <c r="J29" s="113" t="s">
        <v>23</v>
      </c>
      <c r="K29" s="117" t="s">
        <v>26</v>
      </c>
      <c r="L29" s="117" t="s">
        <v>318</v>
      </c>
      <c r="M29" s="118" t="s">
        <v>53</v>
      </c>
      <c r="O29" s="156">
        <v>0.69333333333333336</v>
      </c>
      <c r="P29" s="157">
        <v>0.39</v>
      </c>
      <c r="Q29" s="157">
        <v>0.77199999999999991</v>
      </c>
      <c r="R29" s="157"/>
      <c r="T29" s="113">
        <v>979016652</v>
      </c>
      <c r="U29" s="113"/>
      <c r="V29" s="113" t="s">
        <v>284</v>
      </c>
    </row>
    <row r="30" spans="1:22" ht="26.1" customHeight="1" x14ac:dyDescent="0.35">
      <c r="A30" s="111">
        <v>23</v>
      </c>
      <c r="B30" s="112" t="s">
        <v>150</v>
      </c>
      <c r="C30" s="137">
        <v>72159882</v>
      </c>
      <c r="D30" s="113" t="s">
        <v>86</v>
      </c>
      <c r="E30" s="114" t="s">
        <v>29</v>
      </c>
      <c r="F30" s="136" t="s">
        <v>15</v>
      </c>
      <c r="G30" s="115">
        <v>65.349999999999994</v>
      </c>
      <c r="H30" s="115">
        <v>80</v>
      </c>
      <c r="I30" s="116">
        <v>69.75</v>
      </c>
      <c r="J30" s="113" t="s">
        <v>23</v>
      </c>
      <c r="K30" s="117" t="s">
        <v>26</v>
      </c>
      <c r="L30" s="117" t="s">
        <v>318</v>
      </c>
      <c r="M30" s="118" t="s">
        <v>53</v>
      </c>
      <c r="O30" s="156">
        <v>0.79999999999999993</v>
      </c>
      <c r="P30" s="157">
        <v>0.52</v>
      </c>
      <c r="Q30" s="157">
        <v>0.71599999999999997</v>
      </c>
      <c r="R30" s="157"/>
      <c r="T30" s="113">
        <v>938533149</v>
      </c>
      <c r="U30" s="113"/>
      <c r="V30" s="113" t="s">
        <v>151</v>
      </c>
    </row>
    <row r="31" spans="1:22" ht="26.1" customHeight="1" x14ac:dyDescent="0.35">
      <c r="A31" s="117">
        <v>24</v>
      </c>
      <c r="B31" s="112" t="s">
        <v>122</v>
      </c>
      <c r="C31" s="137">
        <v>74714998</v>
      </c>
      <c r="D31" s="113" t="s">
        <v>321</v>
      </c>
      <c r="E31" s="114" t="s">
        <v>29</v>
      </c>
      <c r="F31" s="136" t="s">
        <v>16</v>
      </c>
      <c r="G31" s="115">
        <v>55.999999999999993</v>
      </c>
      <c r="H31" s="115">
        <v>100</v>
      </c>
      <c r="I31" s="116">
        <v>69.199999999999989</v>
      </c>
      <c r="J31" s="113" t="s">
        <v>23</v>
      </c>
      <c r="K31" s="117" t="s">
        <v>26</v>
      </c>
      <c r="L31" s="117" t="s">
        <v>322</v>
      </c>
      <c r="M31" s="118" t="s">
        <v>53</v>
      </c>
      <c r="O31" s="156">
        <v>0.90666666666666673</v>
      </c>
      <c r="P31" s="157">
        <v>0.57999999999999996</v>
      </c>
      <c r="Q31" s="157">
        <v>0.52400000000000002</v>
      </c>
      <c r="R31" s="157"/>
      <c r="T31" s="113">
        <v>998174443</v>
      </c>
      <c r="U31" s="113"/>
      <c r="V31" s="113" t="s">
        <v>123</v>
      </c>
    </row>
    <row r="32" spans="1:22" ht="26.1" customHeight="1" x14ac:dyDescent="0.35">
      <c r="A32" s="111">
        <v>25</v>
      </c>
      <c r="B32" s="112" t="s">
        <v>102</v>
      </c>
      <c r="C32" s="137">
        <v>71448680</v>
      </c>
      <c r="D32" s="113" t="s">
        <v>323</v>
      </c>
      <c r="E32" s="114" t="s">
        <v>29</v>
      </c>
      <c r="F32" s="136" t="s">
        <v>11</v>
      </c>
      <c r="G32" s="115">
        <v>64</v>
      </c>
      <c r="H32" s="115">
        <v>80</v>
      </c>
      <c r="I32" s="116">
        <v>68.8</v>
      </c>
      <c r="J32" s="113" t="s">
        <v>23</v>
      </c>
      <c r="K32" s="117" t="s">
        <v>26</v>
      </c>
      <c r="L32" s="117" t="s">
        <v>324</v>
      </c>
      <c r="M32" s="118" t="s">
        <v>53</v>
      </c>
      <c r="O32" s="156">
        <v>0.58666666666666667</v>
      </c>
      <c r="P32" s="157">
        <v>0.67999999999999994</v>
      </c>
      <c r="Q32" s="157">
        <v>0.72</v>
      </c>
      <c r="R32" s="157"/>
      <c r="T32" s="113">
        <v>968808709</v>
      </c>
      <c r="U32" s="113"/>
      <c r="V32" s="113" t="s">
        <v>103</v>
      </c>
    </row>
    <row r="33" spans="1:22" ht="26.1" customHeight="1" x14ac:dyDescent="0.35">
      <c r="A33" s="117">
        <v>26</v>
      </c>
      <c r="B33" s="112" t="s">
        <v>281</v>
      </c>
      <c r="C33" s="137">
        <v>75344823</v>
      </c>
      <c r="D33" s="113" t="s">
        <v>325</v>
      </c>
      <c r="E33" s="114" t="s">
        <v>29</v>
      </c>
      <c r="F33" s="136" t="s">
        <v>15</v>
      </c>
      <c r="G33" s="115">
        <v>64</v>
      </c>
      <c r="H33" s="115">
        <v>80</v>
      </c>
      <c r="I33" s="116">
        <v>68.8</v>
      </c>
      <c r="J33" s="113" t="s">
        <v>23</v>
      </c>
      <c r="K33" s="117" t="s">
        <v>26</v>
      </c>
      <c r="L33" s="117" t="s">
        <v>322</v>
      </c>
      <c r="M33" s="118" t="s">
        <v>53</v>
      </c>
      <c r="O33" s="156">
        <v>0.84666666666666668</v>
      </c>
      <c r="P33" s="157">
        <v>0.59</v>
      </c>
      <c r="Q33" s="157">
        <v>0.57599999999999996</v>
      </c>
      <c r="R33" s="157"/>
      <c r="T33" s="113">
        <v>920668827</v>
      </c>
      <c r="U33" s="113"/>
      <c r="V33" s="113" t="s">
        <v>282</v>
      </c>
    </row>
    <row r="34" spans="1:22" ht="26.1" customHeight="1" x14ac:dyDescent="0.35">
      <c r="A34" s="111">
        <v>27</v>
      </c>
      <c r="B34" s="112" t="s">
        <v>250</v>
      </c>
      <c r="C34" s="137">
        <v>78372952</v>
      </c>
      <c r="D34" s="113" t="s">
        <v>326</v>
      </c>
      <c r="E34" s="114" t="s">
        <v>29</v>
      </c>
      <c r="F34" s="136" t="s">
        <v>13</v>
      </c>
      <c r="G34" s="115">
        <v>64</v>
      </c>
      <c r="H34" s="115">
        <v>80</v>
      </c>
      <c r="I34" s="116">
        <v>68.8</v>
      </c>
      <c r="J34" s="113" t="s">
        <v>23</v>
      </c>
      <c r="K34" s="117" t="s">
        <v>26</v>
      </c>
      <c r="L34" s="117" t="s">
        <v>322</v>
      </c>
      <c r="M34" s="118" t="s">
        <v>53</v>
      </c>
      <c r="O34" s="156">
        <v>0.84666666666666668</v>
      </c>
      <c r="P34" s="157">
        <v>0.59</v>
      </c>
      <c r="Q34" s="157">
        <v>0.57599999999999996</v>
      </c>
      <c r="R34" s="157"/>
      <c r="T34" s="113">
        <v>975717595</v>
      </c>
      <c r="U34" s="113"/>
      <c r="V34" s="113" t="s">
        <v>251</v>
      </c>
    </row>
    <row r="35" spans="1:22" ht="26.1" customHeight="1" x14ac:dyDescent="0.35">
      <c r="A35" s="117">
        <v>28</v>
      </c>
      <c r="B35" s="112" t="s">
        <v>267</v>
      </c>
      <c r="C35" s="137">
        <v>75238128</v>
      </c>
      <c r="D35" s="113" t="s">
        <v>327</v>
      </c>
      <c r="E35" s="114" t="s">
        <v>29</v>
      </c>
      <c r="F35" s="136" t="s">
        <v>15</v>
      </c>
      <c r="G35" s="115">
        <v>66.649999999999991</v>
      </c>
      <c r="H35" s="115">
        <v>73.350000000000009</v>
      </c>
      <c r="I35" s="116">
        <v>68.650000000000006</v>
      </c>
      <c r="J35" s="113" t="s">
        <v>23</v>
      </c>
      <c r="K35" s="117" t="s">
        <v>27</v>
      </c>
      <c r="L35" s="117" t="s">
        <v>53</v>
      </c>
      <c r="M35" s="118" t="s">
        <v>53</v>
      </c>
      <c r="O35" s="156">
        <v>0.74</v>
      </c>
      <c r="P35" s="157">
        <v>0.65999999999999992</v>
      </c>
      <c r="Q35" s="157">
        <v>0.63200000000000001</v>
      </c>
      <c r="R35" s="157"/>
      <c r="T35" s="113">
        <v>923331635</v>
      </c>
      <c r="U35" s="113"/>
      <c r="V35" s="113" t="s">
        <v>268</v>
      </c>
    </row>
    <row r="36" spans="1:22" ht="26.1" customHeight="1" x14ac:dyDescent="0.35">
      <c r="A36" s="111">
        <v>29</v>
      </c>
      <c r="B36" s="112" t="s">
        <v>100</v>
      </c>
      <c r="C36" s="137">
        <v>71436029</v>
      </c>
      <c r="D36" s="113" t="s">
        <v>328</v>
      </c>
      <c r="E36" s="114" t="s">
        <v>29</v>
      </c>
      <c r="F36" s="136" t="s">
        <v>18</v>
      </c>
      <c r="G36" s="115">
        <v>69.349999999999994</v>
      </c>
      <c r="H36" s="115">
        <v>66.649999999999991</v>
      </c>
      <c r="I36" s="116">
        <v>68.55</v>
      </c>
      <c r="J36" s="113" t="s">
        <v>23</v>
      </c>
      <c r="K36" s="117" t="s">
        <v>27</v>
      </c>
      <c r="L36" s="117" t="s">
        <v>53</v>
      </c>
      <c r="M36" s="118" t="s">
        <v>53</v>
      </c>
      <c r="O36" s="156">
        <v>0.79999999999999993</v>
      </c>
      <c r="P36" s="157">
        <v>0.79999999999999993</v>
      </c>
      <c r="Q36" s="157">
        <v>0.62799999999999989</v>
      </c>
      <c r="R36" s="157"/>
      <c r="T36" s="113">
        <v>950514748</v>
      </c>
      <c r="U36" s="113"/>
      <c r="V36" s="113" t="s">
        <v>101</v>
      </c>
    </row>
    <row r="37" spans="1:22" ht="26.1" customHeight="1" x14ac:dyDescent="0.35">
      <c r="A37" s="117">
        <v>30</v>
      </c>
      <c r="B37" s="112" t="s">
        <v>222</v>
      </c>
      <c r="C37" s="137">
        <v>74134651</v>
      </c>
      <c r="D37" s="113" t="s">
        <v>329</v>
      </c>
      <c r="E37" s="114" t="s">
        <v>29</v>
      </c>
      <c r="F37" s="136" t="s">
        <v>18</v>
      </c>
      <c r="G37" s="115">
        <v>72</v>
      </c>
      <c r="H37" s="115">
        <v>60</v>
      </c>
      <c r="I37" s="116">
        <v>68.399999999999991</v>
      </c>
      <c r="J37" s="113" t="s">
        <v>23</v>
      </c>
      <c r="K37" s="117" t="s">
        <v>26</v>
      </c>
      <c r="L37" s="117" t="s">
        <v>318</v>
      </c>
      <c r="M37" s="118" t="s">
        <v>53</v>
      </c>
      <c r="O37" s="156">
        <v>0.69333333333333336</v>
      </c>
      <c r="P37" s="157">
        <v>0.53</v>
      </c>
      <c r="Q37" s="157">
        <v>0.71199999999999997</v>
      </c>
      <c r="R37" s="157"/>
      <c r="T37" s="113">
        <v>981645804</v>
      </c>
      <c r="U37" s="113"/>
      <c r="V37" s="113" t="s">
        <v>223</v>
      </c>
    </row>
    <row r="38" spans="1:22" ht="26.1" customHeight="1" x14ac:dyDescent="0.35">
      <c r="A38" s="111">
        <v>31</v>
      </c>
      <c r="B38" s="112" t="s">
        <v>213</v>
      </c>
      <c r="C38" s="137">
        <v>72559660</v>
      </c>
      <c r="D38" s="113" t="s">
        <v>91</v>
      </c>
      <c r="E38" s="114" t="s">
        <v>29</v>
      </c>
      <c r="F38" s="136" t="s">
        <v>13</v>
      </c>
      <c r="G38" s="115">
        <v>54.65</v>
      </c>
      <c r="H38" s="115">
        <v>100</v>
      </c>
      <c r="I38" s="116">
        <v>68.25</v>
      </c>
      <c r="J38" s="113" t="s">
        <v>23</v>
      </c>
      <c r="K38" s="117" t="s">
        <v>26</v>
      </c>
      <c r="L38" s="117" t="s">
        <v>322</v>
      </c>
      <c r="M38" s="118" t="s">
        <v>53</v>
      </c>
      <c r="O38" s="156">
        <v>0.90666666666666673</v>
      </c>
      <c r="P38" s="157">
        <v>0.51</v>
      </c>
      <c r="Q38" s="157">
        <v>0.55200000000000005</v>
      </c>
      <c r="R38" s="157"/>
      <c r="T38" s="113">
        <v>976970899</v>
      </c>
      <c r="U38" s="113"/>
      <c r="V38" s="113" t="s">
        <v>71</v>
      </c>
    </row>
    <row r="39" spans="1:22" ht="26.1" customHeight="1" x14ac:dyDescent="0.35">
      <c r="A39" s="117">
        <v>32</v>
      </c>
      <c r="B39" s="112" t="s">
        <v>228</v>
      </c>
      <c r="C39" s="137">
        <v>71029337</v>
      </c>
      <c r="D39" s="113" t="s">
        <v>330</v>
      </c>
      <c r="E39" s="114" t="s">
        <v>29</v>
      </c>
      <c r="F39" s="136" t="s">
        <v>31</v>
      </c>
      <c r="G39" s="115">
        <v>65.349999999999994</v>
      </c>
      <c r="H39" s="115">
        <v>73.350000000000009</v>
      </c>
      <c r="I39" s="116">
        <v>67.75</v>
      </c>
      <c r="J39" s="113" t="s">
        <v>23</v>
      </c>
      <c r="K39" s="117" t="s">
        <v>26</v>
      </c>
      <c r="L39" s="117" t="s">
        <v>318</v>
      </c>
      <c r="M39" s="118" t="s">
        <v>53</v>
      </c>
      <c r="O39" s="156">
        <v>0.79999999999999993</v>
      </c>
      <c r="P39" s="157">
        <v>0.53</v>
      </c>
      <c r="Q39" s="157">
        <v>0.65999999999999992</v>
      </c>
      <c r="R39" s="157"/>
      <c r="T39" s="113">
        <v>996492809</v>
      </c>
      <c r="U39" s="113"/>
      <c r="V39" s="113" t="s">
        <v>229</v>
      </c>
    </row>
    <row r="40" spans="1:22" ht="26.1" customHeight="1" x14ac:dyDescent="0.35">
      <c r="A40" s="111">
        <v>33</v>
      </c>
      <c r="B40" s="112" t="s">
        <v>244</v>
      </c>
      <c r="C40" s="137">
        <v>73022244</v>
      </c>
      <c r="D40" s="113" t="s">
        <v>94</v>
      </c>
      <c r="E40" s="114" t="s">
        <v>29</v>
      </c>
      <c r="F40" s="136" t="s">
        <v>31</v>
      </c>
      <c r="G40" s="115">
        <v>68</v>
      </c>
      <c r="H40" s="115">
        <v>66.649999999999991</v>
      </c>
      <c r="I40" s="116">
        <v>67.599999999999994</v>
      </c>
      <c r="J40" s="113" t="s">
        <v>23</v>
      </c>
      <c r="K40" s="117" t="s">
        <v>27</v>
      </c>
      <c r="L40" s="117" t="s">
        <v>53</v>
      </c>
      <c r="M40" s="118" t="s">
        <v>53</v>
      </c>
      <c r="O40" s="156">
        <v>0.7533333333333333</v>
      </c>
      <c r="P40" s="157">
        <v>0.6</v>
      </c>
      <c r="Q40" s="157">
        <v>0.65599999999999992</v>
      </c>
      <c r="R40" s="157"/>
      <c r="T40" s="113">
        <v>979741982</v>
      </c>
      <c r="U40" s="113"/>
      <c r="V40" s="113" t="s">
        <v>72</v>
      </c>
    </row>
    <row r="41" spans="1:22" ht="26.1" customHeight="1" x14ac:dyDescent="0.35">
      <c r="A41" s="117">
        <v>34</v>
      </c>
      <c r="B41" s="112" t="s">
        <v>188</v>
      </c>
      <c r="C41" s="137">
        <v>72435974</v>
      </c>
      <c r="D41" s="113" t="s">
        <v>331</v>
      </c>
      <c r="E41" s="114" t="s">
        <v>29</v>
      </c>
      <c r="F41" s="136" t="s">
        <v>31</v>
      </c>
      <c r="G41" s="115">
        <v>61.349999999999994</v>
      </c>
      <c r="H41" s="115">
        <v>80</v>
      </c>
      <c r="I41" s="116">
        <v>66.95</v>
      </c>
      <c r="J41" s="113" t="s">
        <v>23</v>
      </c>
      <c r="K41" s="117" t="s">
        <v>26</v>
      </c>
      <c r="L41" s="117" t="s">
        <v>99</v>
      </c>
      <c r="M41" s="118" t="s">
        <v>53</v>
      </c>
      <c r="O41" s="156">
        <v>0.89333333333333331</v>
      </c>
      <c r="P41" s="157">
        <v>0.65999999999999992</v>
      </c>
      <c r="Q41" s="157">
        <v>0.40799999999999997</v>
      </c>
      <c r="R41" s="157"/>
      <c r="T41" s="113">
        <v>988811580</v>
      </c>
      <c r="U41" s="113"/>
      <c r="V41" s="113" t="s">
        <v>189</v>
      </c>
    </row>
    <row r="42" spans="1:22" ht="26.1" customHeight="1" x14ac:dyDescent="0.35">
      <c r="A42" s="111">
        <v>35</v>
      </c>
      <c r="B42" s="112" t="s">
        <v>127</v>
      </c>
      <c r="C42" s="137">
        <v>74277061</v>
      </c>
      <c r="D42" s="113" t="s">
        <v>82</v>
      </c>
      <c r="E42" s="114" t="s">
        <v>29</v>
      </c>
      <c r="F42" s="136" t="s">
        <v>18</v>
      </c>
      <c r="G42" s="115">
        <v>61.349999999999994</v>
      </c>
      <c r="H42" s="115">
        <v>80</v>
      </c>
      <c r="I42" s="116">
        <v>66.95</v>
      </c>
      <c r="J42" s="113" t="s">
        <v>23</v>
      </c>
      <c r="K42" s="117" t="s">
        <v>26</v>
      </c>
      <c r="L42" s="117" t="s">
        <v>318</v>
      </c>
      <c r="M42" s="118" t="s">
        <v>53</v>
      </c>
      <c r="O42" s="156">
        <v>0.79999999999999993</v>
      </c>
      <c r="P42" s="157">
        <v>0.52</v>
      </c>
      <c r="Q42" s="157">
        <v>0.65999999999999992</v>
      </c>
      <c r="R42" s="157"/>
      <c r="T42" s="113">
        <v>978418733</v>
      </c>
      <c r="U42" s="113"/>
      <c r="V42" s="113" t="s">
        <v>65</v>
      </c>
    </row>
    <row r="43" spans="1:22" ht="26.1" customHeight="1" x14ac:dyDescent="0.35">
      <c r="A43" s="117">
        <v>36</v>
      </c>
      <c r="B43" s="112" t="s">
        <v>212</v>
      </c>
      <c r="C43" s="137">
        <v>61006937</v>
      </c>
      <c r="D43" s="113" t="s">
        <v>90</v>
      </c>
      <c r="E43" s="114" t="s">
        <v>29</v>
      </c>
      <c r="F43" s="136" t="s">
        <v>18</v>
      </c>
      <c r="G43" s="115">
        <v>66.649999999999991</v>
      </c>
      <c r="H43" s="115">
        <v>66.649999999999991</v>
      </c>
      <c r="I43" s="116">
        <v>66.649999999999991</v>
      </c>
      <c r="J43" s="113" t="s">
        <v>23</v>
      </c>
      <c r="K43" s="117" t="s">
        <v>26</v>
      </c>
      <c r="L43" s="117" t="s">
        <v>318</v>
      </c>
      <c r="M43" s="118" t="s">
        <v>53</v>
      </c>
      <c r="O43" s="156">
        <v>0.7533333333333333</v>
      </c>
      <c r="P43" s="157">
        <v>0.44999999999999996</v>
      </c>
      <c r="Q43" s="157">
        <v>0.68399999999999994</v>
      </c>
      <c r="R43" s="157"/>
      <c r="T43" s="113">
        <v>902633157</v>
      </c>
      <c r="U43" s="113"/>
      <c r="V43" s="113" t="s">
        <v>70</v>
      </c>
    </row>
    <row r="44" spans="1:22" ht="26.1" customHeight="1" x14ac:dyDescent="0.35">
      <c r="A44" s="111">
        <v>37</v>
      </c>
      <c r="B44" s="112" t="s">
        <v>200</v>
      </c>
      <c r="C44" s="137">
        <v>73583943</v>
      </c>
      <c r="D44" s="113" t="s">
        <v>332</v>
      </c>
      <c r="E44" s="114" t="s">
        <v>29</v>
      </c>
      <c r="F44" s="136" t="s">
        <v>18</v>
      </c>
      <c r="G44" s="115">
        <v>66.649999999999991</v>
      </c>
      <c r="H44" s="115">
        <v>66.649999999999991</v>
      </c>
      <c r="I44" s="116">
        <v>66.649999999999991</v>
      </c>
      <c r="J44" s="113" t="s">
        <v>23</v>
      </c>
      <c r="K44" s="117" t="s">
        <v>26</v>
      </c>
      <c r="L44" s="117" t="s">
        <v>318</v>
      </c>
      <c r="M44" s="118" t="s">
        <v>53</v>
      </c>
      <c r="O44" s="156">
        <v>0.70666666666666655</v>
      </c>
      <c r="P44" s="157">
        <v>0.52</v>
      </c>
      <c r="Q44" s="157">
        <v>0.68399999999999994</v>
      </c>
      <c r="R44" s="157"/>
      <c r="T44" s="113">
        <v>922201747</v>
      </c>
      <c r="U44" s="113"/>
      <c r="V44" s="113" t="s">
        <v>201</v>
      </c>
    </row>
    <row r="45" spans="1:22" ht="26.1" customHeight="1" x14ac:dyDescent="0.35">
      <c r="A45" s="117">
        <v>38</v>
      </c>
      <c r="B45" s="112" t="s">
        <v>269</v>
      </c>
      <c r="C45" s="137">
        <v>73130605</v>
      </c>
      <c r="D45" s="113" t="s">
        <v>333</v>
      </c>
      <c r="E45" s="114" t="s">
        <v>29</v>
      </c>
      <c r="F45" s="136" t="s">
        <v>31</v>
      </c>
      <c r="G45" s="115">
        <v>69.349999999999994</v>
      </c>
      <c r="H45" s="115">
        <v>60</v>
      </c>
      <c r="I45" s="116">
        <v>66.55</v>
      </c>
      <c r="J45" s="113" t="s">
        <v>23</v>
      </c>
      <c r="K45" s="117" t="s">
        <v>26</v>
      </c>
      <c r="L45" s="117" t="s">
        <v>318</v>
      </c>
      <c r="M45" s="118" t="s">
        <v>53</v>
      </c>
      <c r="O45" s="156">
        <v>0.78666666666666663</v>
      </c>
      <c r="P45" s="157">
        <v>0.45999999999999996</v>
      </c>
      <c r="Q45" s="157">
        <v>0.68399999999999994</v>
      </c>
      <c r="R45" s="157"/>
      <c r="T45" s="113">
        <v>944465341</v>
      </c>
      <c r="U45" s="113"/>
      <c r="V45" s="113" t="s">
        <v>270</v>
      </c>
    </row>
    <row r="46" spans="1:22" ht="26.1" customHeight="1" x14ac:dyDescent="0.35">
      <c r="A46" s="111">
        <v>39</v>
      </c>
      <c r="B46" s="112" t="s">
        <v>139</v>
      </c>
      <c r="C46" s="137">
        <v>74652497</v>
      </c>
      <c r="D46" s="113" t="s">
        <v>84</v>
      </c>
      <c r="E46" s="114" t="s">
        <v>29</v>
      </c>
      <c r="F46" s="136" t="s">
        <v>17</v>
      </c>
      <c r="G46" s="115">
        <v>69.349999999999994</v>
      </c>
      <c r="H46" s="115">
        <v>60</v>
      </c>
      <c r="I46" s="116">
        <v>66.55</v>
      </c>
      <c r="J46" s="113" t="s">
        <v>23</v>
      </c>
      <c r="K46" s="117" t="s">
        <v>26</v>
      </c>
      <c r="L46" s="117" t="s">
        <v>318</v>
      </c>
      <c r="M46" s="118" t="s">
        <v>53</v>
      </c>
      <c r="O46" s="156">
        <v>0.74</v>
      </c>
      <c r="P46" s="157">
        <v>0.45999999999999996</v>
      </c>
      <c r="Q46" s="157">
        <v>0.68399999999999994</v>
      </c>
      <c r="R46" s="157"/>
      <c r="T46" s="113">
        <v>913954533</v>
      </c>
      <c r="U46" s="113"/>
      <c r="V46" s="113" t="s">
        <v>67</v>
      </c>
    </row>
    <row r="47" spans="1:22" ht="26.1" customHeight="1" x14ac:dyDescent="0.35">
      <c r="A47" s="117">
        <v>40</v>
      </c>
      <c r="B47" s="112" t="s">
        <v>260</v>
      </c>
      <c r="C47" s="137">
        <v>73878463</v>
      </c>
      <c r="D47" s="113" t="s">
        <v>334</v>
      </c>
      <c r="E47" s="114" t="s">
        <v>29</v>
      </c>
      <c r="F47" s="136" t="s">
        <v>13</v>
      </c>
      <c r="G47" s="115">
        <v>52</v>
      </c>
      <c r="H47" s="115">
        <v>100</v>
      </c>
      <c r="I47" s="116">
        <v>66.399999999999991</v>
      </c>
      <c r="J47" s="113" t="s">
        <v>23</v>
      </c>
      <c r="K47" s="117" t="s">
        <v>26</v>
      </c>
      <c r="L47" s="117" t="s">
        <v>318</v>
      </c>
      <c r="M47" s="118" t="s">
        <v>53</v>
      </c>
      <c r="O47" s="156">
        <v>0.76666666666666661</v>
      </c>
      <c r="P47" s="157">
        <v>0.57999999999999996</v>
      </c>
      <c r="Q47" s="157">
        <v>0.60799999999999998</v>
      </c>
      <c r="R47" s="157"/>
      <c r="T47" s="113">
        <v>998190074</v>
      </c>
      <c r="U47" s="113"/>
      <c r="V47" s="113" t="s">
        <v>261</v>
      </c>
    </row>
    <row r="48" spans="1:22" ht="26.1" customHeight="1" x14ac:dyDescent="0.35">
      <c r="A48" s="111">
        <v>41</v>
      </c>
      <c r="B48" s="112" t="s">
        <v>120</v>
      </c>
      <c r="C48" s="137">
        <v>75516570</v>
      </c>
      <c r="D48" s="113" t="s">
        <v>79</v>
      </c>
      <c r="E48" s="114" t="s">
        <v>29</v>
      </c>
      <c r="F48" s="136" t="s">
        <v>1</v>
      </c>
      <c r="G48" s="115">
        <v>68</v>
      </c>
      <c r="H48" s="115">
        <v>60</v>
      </c>
      <c r="I48" s="116">
        <v>65.599999999999994</v>
      </c>
      <c r="J48" s="113" t="s">
        <v>23</v>
      </c>
      <c r="K48" s="117" t="s">
        <v>26</v>
      </c>
      <c r="L48" s="117" t="s">
        <v>99</v>
      </c>
      <c r="M48" s="118" t="s">
        <v>53</v>
      </c>
      <c r="O48" s="156">
        <v>0.74</v>
      </c>
      <c r="P48" s="157">
        <v>0.87999999999999989</v>
      </c>
      <c r="Q48" s="157">
        <v>0.376</v>
      </c>
      <c r="R48" s="157"/>
      <c r="T48" s="113">
        <v>978982622</v>
      </c>
      <c r="U48" s="113"/>
      <c r="V48" s="113" t="s">
        <v>121</v>
      </c>
    </row>
    <row r="49" spans="1:22" ht="26.1" customHeight="1" x14ac:dyDescent="0.35">
      <c r="A49" s="117">
        <v>42</v>
      </c>
      <c r="B49" s="112" t="s">
        <v>279</v>
      </c>
      <c r="C49" s="137">
        <v>73358368</v>
      </c>
      <c r="D49" s="113" t="s">
        <v>335</v>
      </c>
      <c r="E49" s="114" t="s">
        <v>29</v>
      </c>
      <c r="F49" s="136" t="s">
        <v>13</v>
      </c>
      <c r="G49" s="115">
        <v>50.650000000000006</v>
      </c>
      <c r="H49" s="115">
        <v>100</v>
      </c>
      <c r="I49" s="116">
        <v>65.45</v>
      </c>
      <c r="J49" s="113" t="s">
        <v>23</v>
      </c>
      <c r="K49" s="117" t="s">
        <v>26</v>
      </c>
      <c r="L49" s="117" t="s">
        <v>99</v>
      </c>
      <c r="M49" s="118" t="s">
        <v>53</v>
      </c>
      <c r="O49" s="156">
        <v>0.72</v>
      </c>
      <c r="P49" s="157">
        <v>0.64999999999999991</v>
      </c>
      <c r="Q49" s="157">
        <v>0.57999999999999996</v>
      </c>
      <c r="R49" s="157"/>
      <c r="T49" s="113">
        <v>958823659</v>
      </c>
      <c r="U49" s="113"/>
      <c r="V49" s="113" t="s">
        <v>280</v>
      </c>
    </row>
    <row r="50" spans="1:22" ht="26.1" customHeight="1" x14ac:dyDescent="0.35">
      <c r="A50" s="111">
        <v>43</v>
      </c>
      <c r="B50" s="112" t="s">
        <v>230</v>
      </c>
      <c r="C50" s="137">
        <v>71534077</v>
      </c>
      <c r="D50" s="113" t="s">
        <v>336</v>
      </c>
      <c r="E50" s="114" t="s">
        <v>29</v>
      </c>
      <c r="F50" s="136" t="s">
        <v>13</v>
      </c>
      <c r="G50" s="115">
        <v>53.349999999999994</v>
      </c>
      <c r="H50" s="115">
        <v>93.350000000000009</v>
      </c>
      <c r="I50" s="116">
        <v>65.349999999999994</v>
      </c>
      <c r="J50" s="113" t="s">
        <v>337</v>
      </c>
      <c r="K50" s="117" t="s">
        <v>26</v>
      </c>
      <c r="L50" s="117" t="s">
        <v>322</v>
      </c>
      <c r="M50" s="118" t="s">
        <v>338</v>
      </c>
      <c r="O50" s="156">
        <v>0.81333333333333324</v>
      </c>
      <c r="P50" s="157">
        <v>0.57999999999999996</v>
      </c>
      <c r="Q50" s="157">
        <v>0.52</v>
      </c>
      <c r="R50" s="157"/>
      <c r="T50" s="113">
        <v>969429890</v>
      </c>
      <c r="U50" s="113"/>
      <c r="V50" s="113" t="s">
        <v>231</v>
      </c>
    </row>
    <row r="51" spans="1:22" ht="26.1" customHeight="1" x14ac:dyDescent="0.35">
      <c r="A51" s="117">
        <v>44</v>
      </c>
      <c r="B51" s="112" t="s">
        <v>216</v>
      </c>
      <c r="C51" s="137">
        <v>75537736</v>
      </c>
      <c r="D51" s="113" t="s">
        <v>339</v>
      </c>
      <c r="E51" s="114" t="s">
        <v>29</v>
      </c>
      <c r="F51" s="136" t="s">
        <v>16</v>
      </c>
      <c r="G51" s="115">
        <v>53.349999999999994</v>
      </c>
      <c r="H51" s="115">
        <v>93.350000000000009</v>
      </c>
      <c r="I51" s="116">
        <v>65.349999999999994</v>
      </c>
      <c r="J51" s="113" t="s">
        <v>23</v>
      </c>
      <c r="K51" s="117" t="s">
        <v>26</v>
      </c>
      <c r="L51" s="117" t="s">
        <v>99</v>
      </c>
      <c r="M51" s="118" t="s">
        <v>53</v>
      </c>
      <c r="O51" s="156">
        <v>0.81333333333333324</v>
      </c>
      <c r="P51" s="157">
        <v>0.85999999999999988</v>
      </c>
      <c r="Q51" s="157">
        <v>0.29599999999999999</v>
      </c>
      <c r="R51" s="157"/>
      <c r="T51" s="113">
        <v>930335202</v>
      </c>
      <c r="U51" s="113"/>
      <c r="V51" s="113" t="s">
        <v>217</v>
      </c>
    </row>
    <row r="52" spans="1:22" ht="26.1" customHeight="1" x14ac:dyDescent="0.35">
      <c r="A52" s="111">
        <v>45</v>
      </c>
      <c r="B52" s="112" t="s">
        <v>190</v>
      </c>
      <c r="C52" s="137">
        <v>77534372</v>
      </c>
      <c r="D52" s="113" t="s">
        <v>340</v>
      </c>
      <c r="E52" s="114" t="s">
        <v>29</v>
      </c>
      <c r="F52" s="136" t="s">
        <v>16</v>
      </c>
      <c r="G52" s="115">
        <v>53.349999999999994</v>
      </c>
      <c r="H52" s="115">
        <v>93.350000000000009</v>
      </c>
      <c r="I52" s="116">
        <v>65.349999999999994</v>
      </c>
      <c r="J52" s="113" t="s">
        <v>23</v>
      </c>
      <c r="K52" s="117" t="s">
        <v>26</v>
      </c>
      <c r="L52" s="117" t="s">
        <v>324</v>
      </c>
      <c r="M52" s="118" t="s">
        <v>53</v>
      </c>
      <c r="O52" s="156">
        <v>0.57999999999999996</v>
      </c>
      <c r="P52" s="157">
        <v>0.64999999999999991</v>
      </c>
      <c r="Q52" s="157">
        <v>0.74399999999999999</v>
      </c>
      <c r="R52" s="157"/>
      <c r="T52" s="113">
        <v>989472264</v>
      </c>
      <c r="U52" s="113"/>
      <c r="V52" s="113" t="s">
        <v>191</v>
      </c>
    </row>
    <row r="53" spans="1:22" ht="26.1" customHeight="1" x14ac:dyDescent="0.35">
      <c r="A53" s="117">
        <v>46</v>
      </c>
      <c r="B53" s="112" t="s">
        <v>275</v>
      </c>
      <c r="C53" s="137">
        <v>73972573</v>
      </c>
      <c r="D53" s="113" t="s">
        <v>96</v>
      </c>
      <c r="E53" s="114" t="s">
        <v>29</v>
      </c>
      <c r="F53" s="136" t="s">
        <v>15</v>
      </c>
      <c r="G53" s="115">
        <v>61.349999999999994</v>
      </c>
      <c r="H53" s="115">
        <v>73.350000000000009</v>
      </c>
      <c r="I53" s="116">
        <v>64.95</v>
      </c>
      <c r="J53" s="113" t="s">
        <v>23</v>
      </c>
      <c r="K53" s="117" t="s">
        <v>26</v>
      </c>
      <c r="L53" s="117" t="s">
        <v>99</v>
      </c>
      <c r="M53" s="118" t="s">
        <v>53</v>
      </c>
      <c r="O53" s="156">
        <v>0.7533333333333333</v>
      </c>
      <c r="P53" s="157">
        <v>0.65999999999999992</v>
      </c>
      <c r="Q53" s="157">
        <v>0.51600000000000001</v>
      </c>
      <c r="R53" s="157"/>
      <c r="T53" s="113">
        <v>924909818</v>
      </c>
      <c r="U53" s="113"/>
      <c r="V53" s="113" t="s">
        <v>276</v>
      </c>
    </row>
    <row r="54" spans="1:22" ht="26.1" customHeight="1" x14ac:dyDescent="0.35">
      <c r="A54" s="111">
        <v>47</v>
      </c>
      <c r="B54" s="112" t="s">
        <v>224</v>
      </c>
      <c r="C54" s="137">
        <v>70871092</v>
      </c>
      <c r="D54" s="113" t="s">
        <v>341</v>
      </c>
      <c r="E54" s="114" t="s">
        <v>29</v>
      </c>
      <c r="F54" s="136" t="s">
        <v>15</v>
      </c>
      <c r="G54" s="115">
        <v>52</v>
      </c>
      <c r="H54" s="115">
        <v>93.350000000000009</v>
      </c>
      <c r="I54" s="116">
        <v>64.400000000000006</v>
      </c>
      <c r="J54" s="113" t="s">
        <v>23</v>
      </c>
      <c r="K54" s="117" t="s">
        <v>26</v>
      </c>
      <c r="L54" s="117" t="s">
        <v>322</v>
      </c>
      <c r="M54" s="118" t="s">
        <v>53</v>
      </c>
      <c r="O54" s="156">
        <v>0.85999999999999988</v>
      </c>
      <c r="P54" s="157">
        <v>0.57999999999999996</v>
      </c>
      <c r="Q54" s="157">
        <v>0.436</v>
      </c>
      <c r="R54" s="157"/>
      <c r="T54" s="113">
        <v>951047826</v>
      </c>
      <c r="U54" s="113"/>
      <c r="V54" s="113" t="s">
        <v>225</v>
      </c>
    </row>
    <row r="55" spans="1:22" ht="26.1" customHeight="1" x14ac:dyDescent="0.35">
      <c r="A55" s="117">
        <v>48</v>
      </c>
      <c r="B55" s="112" t="s">
        <v>146</v>
      </c>
      <c r="C55" s="137">
        <v>73602205</v>
      </c>
      <c r="D55" s="113" t="s">
        <v>342</v>
      </c>
      <c r="E55" s="114" t="s">
        <v>29</v>
      </c>
      <c r="F55" s="136" t="s">
        <v>15</v>
      </c>
      <c r="G55" s="115">
        <v>54.65</v>
      </c>
      <c r="H55" s="115">
        <v>86.649999999999991</v>
      </c>
      <c r="I55" s="116">
        <v>64.25</v>
      </c>
      <c r="J55" s="113" t="s">
        <v>23</v>
      </c>
      <c r="K55" s="117" t="s">
        <v>26</v>
      </c>
      <c r="L55" s="117" t="s">
        <v>318</v>
      </c>
      <c r="M55" s="118" t="s">
        <v>53</v>
      </c>
      <c r="O55" s="156">
        <v>0.65999999999999992</v>
      </c>
      <c r="P55" s="157">
        <v>0.57999999999999996</v>
      </c>
      <c r="Q55" s="157">
        <v>0.65999999999999992</v>
      </c>
      <c r="R55" s="157"/>
      <c r="T55" s="113">
        <v>960633051</v>
      </c>
      <c r="U55" s="113"/>
      <c r="V55" s="113" t="s">
        <v>147</v>
      </c>
    </row>
    <row r="56" spans="1:22" ht="26.1" customHeight="1" x14ac:dyDescent="0.35">
      <c r="A56" s="111">
        <v>49</v>
      </c>
      <c r="B56" s="112" t="s">
        <v>245</v>
      </c>
      <c r="C56" s="137">
        <v>43608298</v>
      </c>
      <c r="D56" s="113" t="s">
        <v>343</v>
      </c>
      <c r="E56" s="114" t="s">
        <v>29</v>
      </c>
      <c r="F56" s="136" t="s">
        <v>13</v>
      </c>
      <c r="G56" s="115">
        <v>57.35</v>
      </c>
      <c r="H56" s="115">
        <v>80</v>
      </c>
      <c r="I56" s="116">
        <v>64.149999999999991</v>
      </c>
      <c r="J56" s="113" t="s">
        <v>337</v>
      </c>
      <c r="K56" s="117" t="s">
        <v>26</v>
      </c>
      <c r="L56" s="117" t="s">
        <v>99</v>
      </c>
      <c r="M56" s="118" t="s">
        <v>344</v>
      </c>
      <c r="O56" s="156">
        <v>0.70666666666666655</v>
      </c>
      <c r="P56" s="157">
        <v>0.79999999999999993</v>
      </c>
      <c r="Q56" s="157">
        <v>0.436</v>
      </c>
      <c r="R56" s="157"/>
      <c r="T56" s="113">
        <v>966152624</v>
      </c>
      <c r="U56" s="113"/>
      <c r="V56" s="113" t="s">
        <v>246</v>
      </c>
    </row>
    <row r="57" spans="1:22" ht="26.1" customHeight="1" x14ac:dyDescent="0.35">
      <c r="A57" s="117">
        <v>50</v>
      </c>
      <c r="B57" s="112" t="s">
        <v>192</v>
      </c>
      <c r="C57" s="137">
        <v>72174150</v>
      </c>
      <c r="D57" s="113" t="s">
        <v>345</v>
      </c>
      <c r="E57" s="114" t="s">
        <v>29</v>
      </c>
      <c r="F57" s="136" t="s">
        <v>15</v>
      </c>
      <c r="G57" s="115">
        <v>57.35</v>
      </c>
      <c r="H57" s="115">
        <v>80</v>
      </c>
      <c r="I57" s="116">
        <v>64.149999999999991</v>
      </c>
      <c r="J57" s="113" t="s">
        <v>23</v>
      </c>
      <c r="K57" s="117" t="s">
        <v>26</v>
      </c>
      <c r="L57" s="117" t="s">
        <v>99</v>
      </c>
      <c r="M57" s="118" t="s">
        <v>53</v>
      </c>
      <c r="O57" s="156">
        <v>0.70666666666666655</v>
      </c>
      <c r="P57" s="157">
        <v>0.65999999999999992</v>
      </c>
      <c r="Q57" s="157">
        <v>0.54800000000000004</v>
      </c>
      <c r="R57" s="157"/>
      <c r="T57" s="113">
        <v>958663690</v>
      </c>
      <c r="U57" s="113"/>
      <c r="V57" s="113" t="s">
        <v>193</v>
      </c>
    </row>
    <row r="58" spans="1:22" ht="26.1" customHeight="1" x14ac:dyDescent="0.35">
      <c r="A58" s="111">
        <v>51</v>
      </c>
      <c r="B58" s="112" t="s">
        <v>162</v>
      </c>
      <c r="C58" s="137">
        <v>74606467</v>
      </c>
      <c r="D58" s="113" t="s">
        <v>346</v>
      </c>
      <c r="E58" s="114" t="s">
        <v>29</v>
      </c>
      <c r="F58" s="136" t="s">
        <v>15</v>
      </c>
      <c r="G58" s="115">
        <v>57.35</v>
      </c>
      <c r="H58" s="115">
        <v>80</v>
      </c>
      <c r="I58" s="116">
        <v>64.149999999999991</v>
      </c>
      <c r="J58" s="113" t="s">
        <v>23</v>
      </c>
      <c r="K58" s="117" t="s">
        <v>26</v>
      </c>
      <c r="L58" s="117" t="s">
        <v>99</v>
      </c>
      <c r="M58" s="118" t="s">
        <v>53</v>
      </c>
      <c r="O58" s="156">
        <v>0.7533333333333333</v>
      </c>
      <c r="P58" s="157">
        <v>0.72</v>
      </c>
      <c r="Q58" s="157">
        <v>0.432</v>
      </c>
      <c r="R58" s="157"/>
      <c r="T58" s="113">
        <v>947417539</v>
      </c>
      <c r="U58" s="113"/>
      <c r="V58" s="113" t="s">
        <v>163</v>
      </c>
    </row>
    <row r="59" spans="1:22" ht="26.1" customHeight="1" x14ac:dyDescent="0.35">
      <c r="A59" s="117">
        <v>52</v>
      </c>
      <c r="B59" s="112" t="s">
        <v>218</v>
      </c>
      <c r="C59" s="137">
        <v>77027827</v>
      </c>
      <c r="D59" s="113" t="s">
        <v>347</v>
      </c>
      <c r="E59" s="114" t="s">
        <v>29</v>
      </c>
      <c r="F59" s="136" t="s">
        <v>31</v>
      </c>
      <c r="G59" s="115">
        <v>57.35</v>
      </c>
      <c r="H59" s="115">
        <v>80</v>
      </c>
      <c r="I59" s="116">
        <v>64.149999999999991</v>
      </c>
      <c r="J59" s="113" t="s">
        <v>23</v>
      </c>
      <c r="K59" s="117" t="s">
        <v>26</v>
      </c>
      <c r="L59" s="117" t="s">
        <v>318</v>
      </c>
      <c r="M59" s="118" t="s">
        <v>53</v>
      </c>
      <c r="O59" s="156">
        <v>0.7533333333333333</v>
      </c>
      <c r="P59" s="157">
        <v>0.52</v>
      </c>
      <c r="Q59" s="157">
        <v>0.60399999999999998</v>
      </c>
      <c r="R59" s="157"/>
      <c r="T59" s="113">
        <v>987952192</v>
      </c>
      <c r="U59" s="113"/>
      <c r="V59" s="113" t="s">
        <v>219</v>
      </c>
    </row>
    <row r="60" spans="1:22" ht="26.1" customHeight="1" x14ac:dyDescent="0.35">
      <c r="A60" s="111">
        <v>53</v>
      </c>
      <c r="B60" s="112" t="s">
        <v>196</v>
      </c>
      <c r="C60" s="137">
        <v>71117779</v>
      </c>
      <c r="D60" s="113" t="s">
        <v>348</v>
      </c>
      <c r="E60" s="114" t="s">
        <v>29</v>
      </c>
      <c r="F60" s="136" t="s">
        <v>11</v>
      </c>
      <c r="G60" s="115">
        <v>58.650000000000006</v>
      </c>
      <c r="H60" s="115">
        <v>76.649999999999991</v>
      </c>
      <c r="I60" s="116">
        <v>64.050000000000011</v>
      </c>
      <c r="J60" s="113" t="s">
        <v>23</v>
      </c>
      <c r="K60" s="117" t="s">
        <v>26</v>
      </c>
      <c r="L60" s="117" t="s">
        <v>318</v>
      </c>
      <c r="M60" s="118" t="s">
        <v>53</v>
      </c>
      <c r="O60" s="156">
        <v>0.7533333333333333</v>
      </c>
      <c r="P60" s="157">
        <v>0.53</v>
      </c>
      <c r="Q60" s="157">
        <v>0.63200000000000001</v>
      </c>
      <c r="R60" s="157"/>
      <c r="T60" s="113">
        <v>985467752</v>
      </c>
      <c r="U60" s="113"/>
      <c r="V60" s="113" t="s">
        <v>197</v>
      </c>
    </row>
    <row r="61" spans="1:22" ht="26.1" customHeight="1" x14ac:dyDescent="0.35">
      <c r="A61" s="117">
        <v>54</v>
      </c>
      <c r="B61" s="112" t="s">
        <v>156</v>
      </c>
      <c r="C61" s="137">
        <v>72338420</v>
      </c>
      <c r="D61" s="113" t="s">
        <v>349</v>
      </c>
      <c r="E61" s="114" t="s">
        <v>29</v>
      </c>
      <c r="F61" s="136" t="s">
        <v>18</v>
      </c>
      <c r="G61" s="115">
        <v>58.650000000000006</v>
      </c>
      <c r="H61" s="115">
        <v>76.649999999999991</v>
      </c>
      <c r="I61" s="116">
        <v>64.050000000000011</v>
      </c>
      <c r="J61" s="113" t="s">
        <v>23</v>
      </c>
      <c r="K61" s="117" t="s">
        <v>26</v>
      </c>
      <c r="L61" s="117" t="s">
        <v>318</v>
      </c>
      <c r="M61" s="118" t="s">
        <v>53</v>
      </c>
      <c r="O61" s="156">
        <v>0.84666666666666668</v>
      </c>
      <c r="P61" s="157">
        <v>0.53</v>
      </c>
      <c r="Q61" s="157">
        <v>0.60399999999999998</v>
      </c>
      <c r="R61" s="157"/>
      <c r="T61" s="113">
        <v>921825834</v>
      </c>
      <c r="U61" s="113"/>
      <c r="V61" s="113" t="s">
        <v>157</v>
      </c>
    </row>
    <row r="62" spans="1:22" ht="26.1" customHeight="1" x14ac:dyDescent="0.35">
      <c r="A62" s="111">
        <v>55</v>
      </c>
      <c r="B62" s="112" t="s">
        <v>208</v>
      </c>
      <c r="C62" s="137">
        <v>71919088</v>
      </c>
      <c r="D62" s="113" t="s">
        <v>350</v>
      </c>
      <c r="E62" s="114" t="s">
        <v>29</v>
      </c>
      <c r="F62" s="136" t="s">
        <v>15</v>
      </c>
      <c r="G62" s="115">
        <v>53.349999999999994</v>
      </c>
      <c r="H62" s="115">
        <v>86.649999999999991</v>
      </c>
      <c r="I62" s="116">
        <v>63.349999999999994</v>
      </c>
      <c r="J62" s="113" t="s">
        <v>23</v>
      </c>
      <c r="K62" s="117" t="s">
        <v>26</v>
      </c>
      <c r="L62" s="117" t="s">
        <v>99</v>
      </c>
      <c r="M62" s="118" t="s">
        <v>53</v>
      </c>
      <c r="O62" s="156">
        <v>0.70666666666666655</v>
      </c>
      <c r="P62" s="157">
        <v>0.72</v>
      </c>
      <c r="Q62" s="157">
        <v>0.46399999999999997</v>
      </c>
      <c r="R62" s="157"/>
      <c r="T62" s="113">
        <v>992810389</v>
      </c>
      <c r="U62" s="113"/>
      <c r="V62" s="113" t="s">
        <v>209</v>
      </c>
    </row>
    <row r="63" spans="1:22" ht="26.1" customHeight="1" x14ac:dyDescent="0.35">
      <c r="A63" s="117">
        <v>56</v>
      </c>
      <c r="B63" s="112" t="s">
        <v>248</v>
      </c>
      <c r="C63" s="137">
        <v>72740048</v>
      </c>
      <c r="D63" s="113" t="s">
        <v>351</v>
      </c>
      <c r="E63" s="114" t="s">
        <v>29</v>
      </c>
      <c r="F63" s="136" t="s">
        <v>15</v>
      </c>
      <c r="G63" s="115">
        <v>53.349999999999994</v>
      </c>
      <c r="H63" s="115">
        <v>86.649999999999991</v>
      </c>
      <c r="I63" s="116">
        <v>63.349999999999994</v>
      </c>
      <c r="J63" s="113" t="s">
        <v>23</v>
      </c>
      <c r="K63" s="117" t="s">
        <v>26</v>
      </c>
      <c r="L63" s="117" t="s">
        <v>322</v>
      </c>
      <c r="M63" s="118" t="s">
        <v>53</v>
      </c>
      <c r="O63" s="156">
        <v>0.70666666666666655</v>
      </c>
      <c r="P63" s="157">
        <v>0.57999999999999996</v>
      </c>
      <c r="Q63" s="157">
        <v>0.57599999999999996</v>
      </c>
      <c r="R63" s="157"/>
      <c r="T63" s="113">
        <v>951695236</v>
      </c>
      <c r="U63" s="113"/>
      <c r="V63" s="113" t="s">
        <v>249</v>
      </c>
    </row>
    <row r="64" spans="1:22" ht="26.1" customHeight="1" x14ac:dyDescent="0.35">
      <c r="A64" s="111">
        <v>57</v>
      </c>
      <c r="B64" s="112" t="s">
        <v>114</v>
      </c>
      <c r="C64" s="137">
        <v>71313462</v>
      </c>
      <c r="D64" s="113" t="s">
        <v>60</v>
      </c>
      <c r="E64" s="114" t="s">
        <v>29</v>
      </c>
      <c r="F64" s="136" t="s">
        <v>11</v>
      </c>
      <c r="G64" s="115">
        <v>54.65</v>
      </c>
      <c r="H64" s="115">
        <v>83.350000000000009</v>
      </c>
      <c r="I64" s="116">
        <v>63.250000000000007</v>
      </c>
      <c r="J64" s="113" t="s">
        <v>23</v>
      </c>
      <c r="K64" s="117" t="s">
        <v>26</v>
      </c>
      <c r="L64" s="117" t="s">
        <v>318</v>
      </c>
      <c r="M64" s="118" t="s">
        <v>53</v>
      </c>
      <c r="O64" s="156">
        <v>0.83333333333333326</v>
      </c>
      <c r="P64" s="157">
        <v>0.47</v>
      </c>
      <c r="Q64" s="157">
        <v>0.60799999999999998</v>
      </c>
      <c r="R64" s="157"/>
      <c r="T64" s="113">
        <v>920871679</v>
      </c>
      <c r="U64" s="113"/>
      <c r="V64" s="113" t="s">
        <v>115</v>
      </c>
    </row>
    <row r="65" spans="1:22" ht="26.1" customHeight="1" x14ac:dyDescent="0.35">
      <c r="A65" s="117">
        <v>58</v>
      </c>
      <c r="B65" s="112" t="s">
        <v>106</v>
      </c>
      <c r="C65" s="137">
        <v>73331891</v>
      </c>
      <c r="D65" s="113" t="s">
        <v>352</v>
      </c>
      <c r="E65" s="114" t="s">
        <v>29</v>
      </c>
      <c r="F65" s="136" t="s">
        <v>15</v>
      </c>
      <c r="G65" s="115">
        <v>58.650000000000006</v>
      </c>
      <c r="H65" s="115">
        <v>73.350000000000009</v>
      </c>
      <c r="I65" s="116">
        <v>63.05</v>
      </c>
      <c r="J65" s="113" t="s">
        <v>23</v>
      </c>
      <c r="K65" s="117" t="s">
        <v>26</v>
      </c>
      <c r="L65" s="117" t="s">
        <v>318</v>
      </c>
      <c r="M65" s="118" t="s">
        <v>53</v>
      </c>
      <c r="O65" s="156">
        <v>0.65999999999999992</v>
      </c>
      <c r="P65" s="157">
        <v>0.53</v>
      </c>
      <c r="Q65" s="157">
        <v>0.68799999999999994</v>
      </c>
      <c r="R65" s="157"/>
      <c r="T65" s="113">
        <v>922417182</v>
      </c>
      <c r="U65" s="113"/>
      <c r="V65" s="113" t="s">
        <v>107</v>
      </c>
    </row>
    <row r="66" spans="1:22" ht="26.1" customHeight="1" x14ac:dyDescent="0.35">
      <c r="A66" s="111">
        <v>59</v>
      </c>
      <c r="B66" s="112" t="s">
        <v>124</v>
      </c>
      <c r="C66" s="137">
        <v>71579761</v>
      </c>
      <c r="D66" s="113" t="s">
        <v>80</v>
      </c>
      <c r="E66" s="114" t="s">
        <v>29</v>
      </c>
      <c r="F66" s="136" t="s">
        <v>16</v>
      </c>
      <c r="G66" s="115">
        <v>49.349999999999994</v>
      </c>
      <c r="H66" s="115">
        <v>93.350000000000009</v>
      </c>
      <c r="I66" s="116">
        <v>62.55</v>
      </c>
      <c r="J66" s="113" t="s">
        <v>23</v>
      </c>
      <c r="K66" s="117" t="s">
        <v>26</v>
      </c>
      <c r="L66" s="117" t="s">
        <v>322</v>
      </c>
      <c r="M66" s="118" t="s">
        <v>53</v>
      </c>
      <c r="O66" s="156">
        <v>0.72</v>
      </c>
      <c r="P66" s="157">
        <v>0.57999999999999996</v>
      </c>
      <c r="Q66" s="157">
        <v>0.54800000000000004</v>
      </c>
      <c r="R66" s="157"/>
      <c r="T66" s="113">
        <v>972089592</v>
      </c>
      <c r="U66" s="113"/>
      <c r="V66" s="113" t="s">
        <v>125</v>
      </c>
    </row>
    <row r="67" spans="1:22" ht="26.1" customHeight="1" x14ac:dyDescent="0.35">
      <c r="A67" s="117">
        <v>60</v>
      </c>
      <c r="B67" s="112" t="s">
        <v>170</v>
      </c>
      <c r="C67" s="137">
        <v>74962414</v>
      </c>
      <c r="D67" s="113" t="s">
        <v>353</v>
      </c>
      <c r="E67" s="114" t="s">
        <v>29</v>
      </c>
      <c r="F67" s="136" t="s">
        <v>16</v>
      </c>
      <c r="G67" s="115">
        <v>49.349999999999994</v>
      </c>
      <c r="H67" s="115">
        <v>93.350000000000009</v>
      </c>
      <c r="I67" s="116">
        <v>62.55</v>
      </c>
      <c r="J67" s="113" t="s">
        <v>23</v>
      </c>
      <c r="K67" s="117" t="s">
        <v>26</v>
      </c>
      <c r="L67" s="117" t="s">
        <v>99</v>
      </c>
      <c r="M67" s="118" t="s">
        <v>53</v>
      </c>
      <c r="O67" s="156">
        <v>0.76666666666666661</v>
      </c>
      <c r="P67" s="157">
        <v>0.64999999999999991</v>
      </c>
      <c r="Q67" s="157">
        <v>0.436</v>
      </c>
      <c r="R67" s="157"/>
      <c r="T67" s="113">
        <v>958327594</v>
      </c>
      <c r="U67" s="113"/>
      <c r="V67" s="113" t="s">
        <v>171</v>
      </c>
    </row>
    <row r="68" spans="1:22" ht="26.1" customHeight="1" x14ac:dyDescent="0.35">
      <c r="A68" s="111">
        <v>61</v>
      </c>
      <c r="B68" s="112" t="s">
        <v>166</v>
      </c>
      <c r="C68" s="137">
        <v>74802044</v>
      </c>
      <c r="D68" s="113" t="s">
        <v>354</v>
      </c>
      <c r="E68" s="114" t="s">
        <v>29</v>
      </c>
      <c r="F68" s="136" t="s">
        <v>15</v>
      </c>
      <c r="G68" s="115">
        <v>54.65</v>
      </c>
      <c r="H68" s="115">
        <v>80</v>
      </c>
      <c r="I68" s="116">
        <v>62.249999999999993</v>
      </c>
      <c r="J68" s="113" t="s">
        <v>23</v>
      </c>
      <c r="K68" s="117" t="s">
        <v>26</v>
      </c>
      <c r="L68" s="117" t="s">
        <v>322</v>
      </c>
      <c r="M68" s="118" t="s">
        <v>53</v>
      </c>
      <c r="O68" s="156">
        <v>0.7533333333333333</v>
      </c>
      <c r="P68" s="157">
        <v>0.59</v>
      </c>
      <c r="Q68" s="157">
        <v>0.49199999999999999</v>
      </c>
      <c r="R68" s="157"/>
      <c r="T68" s="113">
        <v>998966486</v>
      </c>
      <c r="U68" s="113"/>
      <c r="V68" s="113" t="s">
        <v>167</v>
      </c>
    </row>
    <row r="69" spans="1:22" ht="26.1" customHeight="1" x14ac:dyDescent="0.35">
      <c r="A69" s="117">
        <v>62</v>
      </c>
      <c r="B69" s="112" t="s">
        <v>240</v>
      </c>
      <c r="C69" s="137">
        <v>47576323</v>
      </c>
      <c r="D69" s="113" t="s">
        <v>355</v>
      </c>
      <c r="E69" s="114" t="s">
        <v>29</v>
      </c>
      <c r="F69" s="136" t="s">
        <v>15</v>
      </c>
      <c r="G69" s="115">
        <v>57.35</v>
      </c>
      <c r="H69" s="115">
        <v>73.350000000000009</v>
      </c>
      <c r="I69" s="116">
        <v>62.149999999999991</v>
      </c>
      <c r="J69" s="113" t="s">
        <v>23</v>
      </c>
      <c r="K69" s="117" t="s">
        <v>26</v>
      </c>
      <c r="L69" s="117" t="s">
        <v>99</v>
      </c>
      <c r="M69" s="118" t="s">
        <v>53</v>
      </c>
      <c r="O69" s="156">
        <v>0.70666666666666655</v>
      </c>
      <c r="P69" s="157">
        <v>0.65999999999999992</v>
      </c>
      <c r="Q69" s="157">
        <v>0.48799999999999999</v>
      </c>
      <c r="R69" s="157"/>
      <c r="T69" s="113">
        <v>929638690</v>
      </c>
      <c r="U69" s="113"/>
      <c r="V69" s="113" t="s">
        <v>241</v>
      </c>
    </row>
    <row r="70" spans="1:22" ht="26.1" customHeight="1" x14ac:dyDescent="0.35">
      <c r="A70" s="111">
        <v>63</v>
      </c>
      <c r="B70" s="112" t="s">
        <v>242</v>
      </c>
      <c r="C70" s="137">
        <v>72812966</v>
      </c>
      <c r="D70" s="113" t="s">
        <v>356</v>
      </c>
      <c r="E70" s="114" t="s">
        <v>29</v>
      </c>
      <c r="F70" s="136" t="s">
        <v>31</v>
      </c>
      <c r="G70" s="115">
        <v>60</v>
      </c>
      <c r="H70" s="115">
        <v>66.649999999999991</v>
      </c>
      <c r="I70" s="116">
        <v>62</v>
      </c>
      <c r="J70" s="113" t="s">
        <v>23</v>
      </c>
      <c r="K70" s="117" t="s">
        <v>26</v>
      </c>
      <c r="L70" s="117" t="s">
        <v>318</v>
      </c>
      <c r="M70" s="118" t="s">
        <v>53</v>
      </c>
      <c r="O70" s="156">
        <v>0.70666666666666655</v>
      </c>
      <c r="P70" s="157">
        <v>0.53</v>
      </c>
      <c r="Q70" s="157">
        <v>0.6</v>
      </c>
      <c r="R70" s="157"/>
      <c r="T70" s="113">
        <v>929750732</v>
      </c>
      <c r="U70" s="113"/>
      <c r="V70" s="113" t="s">
        <v>243</v>
      </c>
    </row>
    <row r="71" spans="1:22" ht="26.1" customHeight="1" x14ac:dyDescent="0.35">
      <c r="A71" s="117">
        <v>64</v>
      </c>
      <c r="B71" s="112" t="s">
        <v>273</v>
      </c>
      <c r="C71" s="137">
        <v>74770179</v>
      </c>
      <c r="D71" s="113" t="s">
        <v>357</v>
      </c>
      <c r="E71" s="114" t="s">
        <v>29</v>
      </c>
      <c r="F71" s="136" t="s">
        <v>18</v>
      </c>
      <c r="G71" s="115">
        <v>61.349999999999994</v>
      </c>
      <c r="H71" s="115">
        <v>63.349999999999994</v>
      </c>
      <c r="I71" s="116">
        <v>61.95</v>
      </c>
      <c r="J71" s="113" t="s">
        <v>23</v>
      </c>
      <c r="K71" s="117" t="s">
        <v>27</v>
      </c>
      <c r="L71" s="117" t="s">
        <v>53</v>
      </c>
      <c r="M71" s="118" t="s">
        <v>53</v>
      </c>
      <c r="O71" s="156">
        <v>0.70666666666666655</v>
      </c>
      <c r="P71" s="157">
        <v>0.6</v>
      </c>
      <c r="Q71" s="157">
        <v>0.6</v>
      </c>
      <c r="R71" s="157"/>
      <c r="T71" s="113">
        <v>931676809</v>
      </c>
      <c r="U71" s="113"/>
      <c r="V71" s="113" t="s">
        <v>274</v>
      </c>
    </row>
    <row r="72" spans="1:22" ht="26.1" customHeight="1" x14ac:dyDescent="0.35">
      <c r="A72" s="111">
        <v>65</v>
      </c>
      <c r="B72" s="112" t="s">
        <v>137</v>
      </c>
      <c r="C72" s="137">
        <v>74282238</v>
      </c>
      <c r="D72" s="113" t="s">
        <v>358</v>
      </c>
      <c r="E72" s="114" t="s">
        <v>29</v>
      </c>
      <c r="F72" s="136" t="s">
        <v>18</v>
      </c>
      <c r="G72" s="115">
        <v>62.649999999999991</v>
      </c>
      <c r="H72" s="115">
        <v>60</v>
      </c>
      <c r="I72" s="116">
        <v>61.849999999999994</v>
      </c>
      <c r="J72" s="113" t="s">
        <v>23</v>
      </c>
      <c r="K72" s="117" t="s">
        <v>26</v>
      </c>
      <c r="L72" s="117" t="s">
        <v>359</v>
      </c>
      <c r="M72" s="118" t="s">
        <v>53</v>
      </c>
      <c r="O72" s="156">
        <v>0.41333333333333333</v>
      </c>
      <c r="P72" s="157">
        <v>0.45999999999999996</v>
      </c>
      <c r="Q72" s="157">
        <v>0.71199999999999997</v>
      </c>
      <c r="R72" s="157"/>
      <c r="T72" s="113">
        <v>975368379</v>
      </c>
      <c r="U72" s="113"/>
      <c r="V72" s="113" t="s">
        <v>138</v>
      </c>
    </row>
    <row r="73" spans="1:22" ht="26.1" customHeight="1" x14ac:dyDescent="0.35">
      <c r="A73" s="117">
        <v>66</v>
      </c>
      <c r="B73" s="112" t="s">
        <v>184</v>
      </c>
      <c r="C73" s="137">
        <v>71986746</v>
      </c>
      <c r="D73" s="113" t="s">
        <v>360</v>
      </c>
      <c r="E73" s="114" t="s">
        <v>29</v>
      </c>
      <c r="F73" s="136" t="s">
        <v>19</v>
      </c>
      <c r="G73" s="115">
        <v>49.349999999999994</v>
      </c>
      <c r="H73" s="115">
        <v>86.649999999999991</v>
      </c>
      <c r="I73" s="116">
        <v>60.54999999999999</v>
      </c>
      <c r="J73" s="113" t="s">
        <v>23</v>
      </c>
      <c r="K73" s="117" t="s">
        <v>26</v>
      </c>
      <c r="L73" s="117" t="s">
        <v>99</v>
      </c>
      <c r="M73" s="118" t="s">
        <v>53</v>
      </c>
      <c r="O73" s="156">
        <v>0.76666666666666661</v>
      </c>
      <c r="P73" s="157">
        <v>0.64999999999999991</v>
      </c>
      <c r="Q73" s="157">
        <v>0.54800000000000004</v>
      </c>
      <c r="R73" s="157"/>
      <c r="T73" s="113">
        <v>972937362</v>
      </c>
      <c r="U73" s="113"/>
      <c r="V73" s="113" t="s">
        <v>185</v>
      </c>
    </row>
    <row r="74" spans="1:22" ht="26.1" customHeight="1" x14ac:dyDescent="0.35">
      <c r="A74" s="111">
        <v>67</v>
      </c>
      <c r="B74" s="112" t="s">
        <v>169</v>
      </c>
      <c r="C74" s="137">
        <v>71313420</v>
      </c>
      <c r="D74" s="113" t="s">
        <v>361</v>
      </c>
      <c r="E74" s="114" t="s">
        <v>29</v>
      </c>
      <c r="F74" s="136" t="s">
        <v>18</v>
      </c>
      <c r="G74" s="115">
        <v>53.349999999999994</v>
      </c>
      <c r="H74" s="115">
        <v>76.649999999999991</v>
      </c>
      <c r="I74" s="116">
        <v>60.35</v>
      </c>
      <c r="J74" s="113" t="s">
        <v>23</v>
      </c>
      <c r="K74" s="117" t="s">
        <v>26</v>
      </c>
      <c r="L74" s="117" t="s">
        <v>99</v>
      </c>
      <c r="M74" s="118" t="s">
        <v>53</v>
      </c>
      <c r="O74" s="156">
        <v>0.69333333333333336</v>
      </c>
      <c r="P74" s="157">
        <v>0.73</v>
      </c>
      <c r="Q74" s="157">
        <v>0.54800000000000004</v>
      </c>
      <c r="R74" s="157"/>
      <c r="T74" s="113">
        <v>943985436</v>
      </c>
      <c r="U74" s="113"/>
      <c r="V74" s="113" t="s">
        <v>69</v>
      </c>
    </row>
    <row r="75" spans="1:22" ht="26.1" customHeight="1" x14ac:dyDescent="0.35">
      <c r="A75" s="117">
        <v>68</v>
      </c>
      <c r="B75" s="112" t="s">
        <v>128</v>
      </c>
      <c r="C75" s="137">
        <v>71038463</v>
      </c>
      <c r="D75" s="113" t="s">
        <v>362</v>
      </c>
      <c r="E75" s="114" t="s">
        <v>29</v>
      </c>
      <c r="F75" s="136" t="s">
        <v>31</v>
      </c>
      <c r="G75" s="115">
        <v>57.35</v>
      </c>
      <c r="H75" s="115">
        <v>66.649999999999991</v>
      </c>
      <c r="I75" s="116">
        <v>60.149999999999991</v>
      </c>
      <c r="J75" s="113" t="s">
        <v>23</v>
      </c>
      <c r="K75" s="117" t="s">
        <v>26</v>
      </c>
      <c r="L75" s="117" t="s">
        <v>318</v>
      </c>
      <c r="M75" s="118" t="s">
        <v>53</v>
      </c>
      <c r="O75" s="156">
        <v>0.64666666666666661</v>
      </c>
      <c r="P75" s="157">
        <v>0.52</v>
      </c>
      <c r="Q75" s="157">
        <v>0.6</v>
      </c>
      <c r="R75" s="157"/>
      <c r="T75" s="113">
        <v>938644867</v>
      </c>
      <c r="U75" s="113"/>
      <c r="V75" s="113" t="s">
        <v>129</v>
      </c>
    </row>
    <row r="76" spans="1:22" ht="26.1" customHeight="1" x14ac:dyDescent="0.35">
      <c r="A76" s="111">
        <v>69</v>
      </c>
      <c r="B76" s="112" t="s">
        <v>116</v>
      </c>
      <c r="C76" s="137">
        <v>76767504</v>
      </c>
      <c r="D76" s="113" t="s">
        <v>363</v>
      </c>
      <c r="E76" s="114" t="s">
        <v>29</v>
      </c>
      <c r="F76" s="136" t="s">
        <v>11</v>
      </c>
      <c r="G76" s="115">
        <v>57.35</v>
      </c>
      <c r="H76" s="115">
        <v>66.649999999999991</v>
      </c>
      <c r="I76" s="116">
        <v>60.149999999999991</v>
      </c>
      <c r="J76" s="113" t="s">
        <v>23</v>
      </c>
      <c r="K76" s="117" t="s">
        <v>26</v>
      </c>
      <c r="L76" s="117" t="s">
        <v>322</v>
      </c>
      <c r="M76" s="118" t="s">
        <v>53</v>
      </c>
      <c r="O76" s="156">
        <v>0.76666666666666661</v>
      </c>
      <c r="P76" s="157">
        <v>0.53</v>
      </c>
      <c r="Q76" s="157">
        <v>0.57200000000000006</v>
      </c>
      <c r="R76" s="157"/>
      <c r="T76" s="113">
        <v>902733047</v>
      </c>
      <c r="U76" s="113"/>
      <c r="V76" s="113" t="s">
        <v>117</v>
      </c>
    </row>
    <row r="77" spans="1:22" ht="26.1" customHeight="1" x14ac:dyDescent="0.35">
      <c r="A77" s="117">
        <v>70</v>
      </c>
      <c r="B77" s="112" t="s">
        <v>247</v>
      </c>
      <c r="C77" s="137">
        <v>76876179</v>
      </c>
      <c r="D77" s="113" t="s">
        <v>95</v>
      </c>
      <c r="E77" s="114" t="s">
        <v>29</v>
      </c>
      <c r="F77" s="136" t="s">
        <v>15</v>
      </c>
      <c r="G77" s="115">
        <v>44.000000000000007</v>
      </c>
      <c r="H77" s="115">
        <v>93.350000000000009</v>
      </c>
      <c r="I77" s="116">
        <v>58.8</v>
      </c>
      <c r="J77" s="113" t="s">
        <v>23</v>
      </c>
      <c r="K77" s="117" t="s">
        <v>26</v>
      </c>
      <c r="L77" s="117" t="s">
        <v>99</v>
      </c>
      <c r="M77" s="118" t="s">
        <v>53</v>
      </c>
      <c r="O77" s="156">
        <v>0.72</v>
      </c>
      <c r="P77" s="157">
        <v>0.64999999999999991</v>
      </c>
      <c r="Q77" s="157">
        <v>0.38</v>
      </c>
      <c r="R77" s="157"/>
      <c r="T77" s="113">
        <v>933380073</v>
      </c>
      <c r="U77" s="113"/>
      <c r="V77" s="113" t="s">
        <v>73</v>
      </c>
    </row>
    <row r="78" spans="1:22" ht="26.1" customHeight="1" x14ac:dyDescent="0.35">
      <c r="A78" s="111">
        <v>71</v>
      </c>
      <c r="B78" s="112" t="s">
        <v>226</v>
      </c>
      <c r="C78" s="137">
        <v>72320664</v>
      </c>
      <c r="D78" s="113" t="s">
        <v>364</v>
      </c>
      <c r="E78" s="114" t="s">
        <v>29</v>
      </c>
      <c r="F78" s="136" t="s">
        <v>18</v>
      </c>
      <c r="G78" s="115">
        <v>48</v>
      </c>
      <c r="H78" s="115">
        <v>83.350000000000009</v>
      </c>
      <c r="I78" s="116">
        <v>58.600000000000009</v>
      </c>
      <c r="J78" s="113" t="s">
        <v>23</v>
      </c>
      <c r="K78" s="117" t="s">
        <v>26</v>
      </c>
      <c r="L78" s="117" t="s">
        <v>99</v>
      </c>
      <c r="M78" s="118" t="s">
        <v>53</v>
      </c>
      <c r="O78" s="156">
        <v>0.84666666666666668</v>
      </c>
      <c r="P78" s="157">
        <v>0.78999999999999992</v>
      </c>
      <c r="Q78" s="157">
        <v>0.46399999999999997</v>
      </c>
      <c r="R78" s="157"/>
      <c r="T78" s="113">
        <v>945218248</v>
      </c>
      <c r="U78" s="113"/>
      <c r="V78" s="113" t="s">
        <v>227</v>
      </c>
    </row>
    <row r="79" spans="1:22" ht="26.1" customHeight="1" x14ac:dyDescent="0.35">
      <c r="A79" s="117">
        <v>72</v>
      </c>
      <c r="B79" s="112" t="s">
        <v>232</v>
      </c>
      <c r="C79" s="137">
        <v>73141852</v>
      </c>
      <c r="D79" s="113" t="s">
        <v>62</v>
      </c>
      <c r="E79" s="114" t="s">
        <v>29</v>
      </c>
      <c r="F79" s="136" t="s">
        <v>11</v>
      </c>
      <c r="G79" s="115">
        <v>52</v>
      </c>
      <c r="H79" s="115">
        <v>73.350000000000009</v>
      </c>
      <c r="I79" s="116">
        <v>58.4</v>
      </c>
      <c r="J79" s="113" t="s">
        <v>23</v>
      </c>
      <c r="K79" s="117" t="s">
        <v>26</v>
      </c>
      <c r="L79" s="117" t="s">
        <v>322</v>
      </c>
      <c r="M79" s="118" t="s">
        <v>53</v>
      </c>
      <c r="O79" s="156">
        <v>0.70666666666666655</v>
      </c>
      <c r="P79" s="157">
        <v>0.47</v>
      </c>
      <c r="Q79" s="157">
        <v>0.57599999999999996</v>
      </c>
      <c r="R79" s="157"/>
      <c r="T79" s="113">
        <v>953332612</v>
      </c>
      <c r="U79" s="113"/>
      <c r="V79" s="113" t="s">
        <v>233</v>
      </c>
    </row>
    <row r="80" spans="1:22" ht="26.1" customHeight="1" x14ac:dyDescent="0.35">
      <c r="A80" s="111">
        <v>73</v>
      </c>
      <c r="B80" s="112" t="s">
        <v>238</v>
      </c>
      <c r="C80" s="137">
        <v>75629676</v>
      </c>
      <c r="D80" s="113" t="s">
        <v>93</v>
      </c>
      <c r="E80" s="114" t="s">
        <v>29</v>
      </c>
      <c r="F80" s="136" t="s">
        <v>15</v>
      </c>
      <c r="G80" s="115">
        <v>52</v>
      </c>
      <c r="H80" s="115">
        <v>73.350000000000009</v>
      </c>
      <c r="I80" s="116">
        <v>58.4</v>
      </c>
      <c r="J80" s="113" t="s">
        <v>23</v>
      </c>
      <c r="K80" s="117" t="s">
        <v>26</v>
      </c>
      <c r="L80" s="117" t="s">
        <v>99</v>
      </c>
      <c r="M80" s="118" t="s">
        <v>53</v>
      </c>
      <c r="O80" s="156">
        <v>0.79999999999999993</v>
      </c>
      <c r="P80" s="157">
        <v>0.65999999999999992</v>
      </c>
      <c r="Q80" s="157">
        <v>0.26400000000000001</v>
      </c>
      <c r="R80" s="157"/>
      <c r="T80" s="113">
        <v>912683142</v>
      </c>
      <c r="U80" s="113"/>
      <c r="V80" s="113" t="s">
        <v>239</v>
      </c>
    </row>
    <row r="81" spans="1:22" ht="26.1" customHeight="1" x14ac:dyDescent="0.35">
      <c r="A81" s="117">
        <v>74</v>
      </c>
      <c r="B81" s="112" t="s">
        <v>174</v>
      </c>
      <c r="C81" s="137">
        <v>46933462</v>
      </c>
      <c r="D81" s="113" t="s">
        <v>365</v>
      </c>
      <c r="E81" s="114" t="s">
        <v>29</v>
      </c>
      <c r="F81" s="136" t="s">
        <v>13</v>
      </c>
      <c r="G81" s="115">
        <v>57.35</v>
      </c>
      <c r="H81" s="115">
        <v>60</v>
      </c>
      <c r="I81" s="116">
        <v>58.15</v>
      </c>
      <c r="J81" s="113" t="s">
        <v>337</v>
      </c>
      <c r="K81" s="117" t="s">
        <v>26</v>
      </c>
      <c r="L81" s="117" t="s">
        <v>322</v>
      </c>
      <c r="M81" s="118" t="s">
        <v>366</v>
      </c>
      <c r="O81" s="156">
        <v>0.78666666666666663</v>
      </c>
      <c r="P81" s="157">
        <v>0.53</v>
      </c>
      <c r="Q81" s="157">
        <v>0.376</v>
      </c>
      <c r="R81" s="157"/>
      <c r="T81" s="113">
        <v>922719848</v>
      </c>
      <c r="U81" s="113"/>
      <c r="V81" s="113" t="s">
        <v>175</v>
      </c>
    </row>
    <row r="82" spans="1:22" ht="26.1" customHeight="1" x14ac:dyDescent="0.35">
      <c r="A82" s="111">
        <v>75</v>
      </c>
      <c r="B82" s="112" t="s">
        <v>252</v>
      </c>
      <c r="C82" s="137">
        <v>72730834</v>
      </c>
      <c r="D82" s="113" t="s">
        <v>367</v>
      </c>
      <c r="E82" s="114" t="s">
        <v>29</v>
      </c>
      <c r="F82" s="136" t="s">
        <v>15</v>
      </c>
      <c r="G82" s="115">
        <v>62.649999999999991</v>
      </c>
      <c r="H82" s="115">
        <v>46.650000000000006</v>
      </c>
      <c r="I82" s="116">
        <v>57.85</v>
      </c>
      <c r="J82" s="113" t="s">
        <v>23</v>
      </c>
      <c r="K82" s="117" t="s">
        <v>26</v>
      </c>
      <c r="L82" s="117" t="s">
        <v>99</v>
      </c>
      <c r="M82" s="118" t="s">
        <v>53</v>
      </c>
      <c r="O82" s="156">
        <v>0.67999999999999994</v>
      </c>
      <c r="P82" s="157">
        <v>0.66999999999999993</v>
      </c>
      <c r="Q82" s="157">
        <v>0.372</v>
      </c>
      <c r="R82" s="157"/>
      <c r="T82" s="113">
        <v>936520420</v>
      </c>
      <c r="U82" s="113"/>
      <c r="V82" s="113" t="s">
        <v>253</v>
      </c>
    </row>
    <row r="83" spans="1:22" ht="26.1" customHeight="1" x14ac:dyDescent="0.35">
      <c r="A83" s="117">
        <v>76</v>
      </c>
      <c r="B83" s="112" t="s">
        <v>277</v>
      </c>
      <c r="C83" s="137">
        <v>73107385</v>
      </c>
      <c r="D83" s="113" t="s">
        <v>368</v>
      </c>
      <c r="E83" s="114" t="s">
        <v>29</v>
      </c>
      <c r="F83" s="136" t="s">
        <v>15</v>
      </c>
      <c r="G83" s="115">
        <v>50.650000000000006</v>
      </c>
      <c r="H83" s="115">
        <v>73.350000000000009</v>
      </c>
      <c r="I83" s="116">
        <v>57.45</v>
      </c>
      <c r="J83" s="113" t="s">
        <v>23</v>
      </c>
      <c r="K83" s="117" t="s">
        <v>26</v>
      </c>
      <c r="L83" s="117" t="s">
        <v>322</v>
      </c>
      <c r="M83" s="118" t="s">
        <v>53</v>
      </c>
      <c r="O83" s="156">
        <v>0.65999999999999992</v>
      </c>
      <c r="P83" s="157">
        <v>0.52</v>
      </c>
      <c r="Q83" s="157">
        <v>0.51600000000000001</v>
      </c>
      <c r="R83" s="157"/>
      <c r="T83" s="113">
        <v>921457828</v>
      </c>
      <c r="U83" s="113"/>
      <c r="V83" s="113" t="s">
        <v>278</v>
      </c>
    </row>
    <row r="84" spans="1:22" ht="26.1" customHeight="1" x14ac:dyDescent="0.35">
      <c r="A84" s="111">
        <v>77</v>
      </c>
      <c r="B84" s="112" t="s">
        <v>152</v>
      </c>
      <c r="C84" s="137">
        <v>77217936</v>
      </c>
      <c r="D84" s="113" t="s">
        <v>87</v>
      </c>
      <c r="E84" s="114" t="s">
        <v>29</v>
      </c>
      <c r="F84" s="136" t="s">
        <v>20</v>
      </c>
      <c r="G84" s="115">
        <v>48</v>
      </c>
      <c r="H84" s="115">
        <v>73.350000000000009</v>
      </c>
      <c r="I84" s="116">
        <v>55.599999999999994</v>
      </c>
      <c r="J84" s="113" t="s">
        <v>23</v>
      </c>
      <c r="K84" s="117" t="s">
        <v>26</v>
      </c>
      <c r="L84" s="117" t="s">
        <v>322</v>
      </c>
      <c r="M84" s="118" t="s">
        <v>53</v>
      </c>
      <c r="O84" s="156">
        <v>0.61333333333333329</v>
      </c>
      <c r="P84" s="157">
        <v>0.59</v>
      </c>
      <c r="Q84" s="157">
        <v>0.45999999999999996</v>
      </c>
      <c r="R84" s="157"/>
      <c r="T84" s="113">
        <v>921727753</v>
      </c>
      <c r="U84" s="113"/>
      <c r="V84" s="113" t="s">
        <v>153</v>
      </c>
    </row>
    <row r="85" spans="1:22" ht="26.1" customHeight="1" x14ac:dyDescent="0.35">
      <c r="A85" s="117">
        <v>78</v>
      </c>
      <c r="B85" s="112" t="s">
        <v>186</v>
      </c>
      <c r="C85" s="137">
        <v>75821278</v>
      </c>
      <c r="D85" s="113" t="s">
        <v>369</v>
      </c>
      <c r="E85" s="114" t="s">
        <v>29</v>
      </c>
      <c r="F85" s="136" t="s">
        <v>14</v>
      </c>
      <c r="G85" s="115">
        <v>53.349999999999994</v>
      </c>
      <c r="H85" s="115">
        <v>60</v>
      </c>
      <c r="I85" s="116">
        <v>55.35</v>
      </c>
      <c r="J85" s="113" t="s">
        <v>23</v>
      </c>
      <c r="K85" s="117" t="s">
        <v>26</v>
      </c>
      <c r="L85" s="117" t="s">
        <v>322</v>
      </c>
      <c r="M85" s="118" t="s">
        <v>53</v>
      </c>
      <c r="O85" s="156">
        <v>0.64666666666666661</v>
      </c>
      <c r="P85" s="157">
        <v>0.31999999999999995</v>
      </c>
      <c r="Q85" s="157">
        <v>0.57200000000000006</v>
      </c>
      <c r="R85" s="157"/>
      <c r="T85" s="113">
        <v>944601071</v>
      </c>
      <c r="U85" s="113"/>
      <c r="V85" s="113" t="s">
        <v>187</v>
      </c>
    </row>
    <row r="86" spans="1:22" ht="26.1" customHeight="1" x14ac:dyDescent="0.35">
      <c r="A86" s="111">
        <v>79</v>
      </c>
      <c r="B86" s="112" t="s">
        <v>148</v>
      </c>
      <c r="C86" s="137">
        <v>74984624</v>
      </c>
      <c r="D86" s="113" t="s">
        <v>85</v>
      </c>
      <c r="E86" s="114" t="s">
        <v>29</v>
      </c>
      <c r="F86" s="136" t="s">
        <v>31</v>
      </c>
      <c r="G86" s="115">
        <v>49.349999999999994</v>
      </c>
      <c r="H86" s="115">
        <v>66.649999999999991</v>
      </c>
      <c r="I86" s="116">
        <v>54.55</v>
      </c>
      <c r="J86" s="113" t="s">
        <v>23</v>
      </c>
      <c r="K86" s="117" t="s">
        <v>26</v>
      </c>
      <c r="L86" s="117" t="s">
        <v>322</v>
      </c>
      <c r="M86" s="118" t="s">
        <v>53</v>
      </c>
      <c r="O86" s="156">
        <v>0.64666666666666661</v>
      </c>
      <c r="P86" s="157">
        <v>0.39</v>
      </c>
      <c r="Q86" s="157">
        <v>0.54800000000000004</v>
      </c>
      <c r="R86" s="157"/>
      <c r="T86" s="113">
        <v>954332421</v>
      </c>
      <c r="U86" s="113"/>
      <c r="V86" s="113" t="s">
        <v>149</v>
      </c>
    </row>
    <row r="87" spans="1:22" ht="26.1" customHeight="1" x14ac:dyDescent="0.35">
      <c r="A87" s="117">
        <v>80</v>
      </c>
      <c r="B87" s="112" t="s">
        <v>258</v>
      </c>
      <c r="C87" s="137">
        <v>71084583</v>
      </c>
      <c r="D87" s="113" t="s">
        <v>370</v>
      </c>
      <c r="E87" s="114" t="s">
        <v>29</v>
      </c>
      <c r="F87" s="136" t="s">
        <v>18</v>
      </c>
      <c r="G87" s="115">
        <v>52</v>
      </c>
      <c r="H87" s="115">
        <v>60</v>
      </c>
      <c r="I87" s="116">
        <v>54.400000000000006</v>
      </c>
      <c r="J87" s="113" t="s">
        <v>23</v>
      </c>
      <c r="K87" s="117" t="s">
        <v>26</v>
      </c>
      <c r="L87" s="117" t="s">
        <v>371</v>
      </c>
      <c r="M87" s="118" t="s">
        <v>53</v>
      </c>
      <c r="O87" s="156">
        <v>0.55333333333333323</v>
      </c>
      <c r="P87" s="157">
        <v>0.53</v>
      </c>
      <c r="Q87" s="157">
        <v>0.54400000000000004</v>
      </c>
      <c r="R87" s="157"/>
      <c r="T87" s="113">
        <v>999358864</v>
      </c>
      <c r="U87" s="113"/>
      <c r="V87" s="113" t="s">
        <v>259</v>
      </c>
    </row>
    <row r="88" spans="1:22" ht="26.1" customHeight="1" x14ac:dyDescent="0.35">
      <c r="A88" s="111">
        <v>81</v>
      </c>
      <c r="B88" s="112" t="s">
        <v>130</v>
      </c>
      <c r="C88" s="137">
        <v>77384275</v>
      </c>
      <c r="D88" s="113" t="s">
        <v>83</v>
      </c>
      <c r="E88" s="114" t="s">
        <v>29</v>
      </c>
      <c r="F88" s="136" t="s">
        <v>1</v>
      </c>
      <c r="G88" s="115">
        <v>42.65</v>
      </c>
      <c r="H88" s="115">
        <v>80</v>
      </c>
      <c r="I88" s="116">
        <v>53.849999999999994</v>
      </c>
      <c r="J88" s="113" t="s">
        <v>23</v>
      </c>
      <c r="K88" s="117" t="s">
        <v>26</v>
      </c>
      <c r="L88" s="117" t="s">
        <v>322</v>
      </c>
      <c r="M88" s="118" t="s">
        <v>53</v>
      </c>
      <c r="O88" s="156">
        <v>0.61333333333333329</v>
      </c>
      <c r="P88" s="157">
        <v>0.52</v>
      </c>
      <c r="Q88" s="157">
        <v>0.46399999999999997</v>
      </c>
      <c r="R88" s="157"/>
      <c r="T88" s="113">
        <v>918764039</v>
      </c>
      <c r="U88" s="113"/>
      <c r="V88" s="113" t="s">
        <v>66</v>
      </c>
    </row>
    <row r="89" spans="1:22" ht="26.1" customHeight="1" x14ac:dyDescent="0.35">
      <c r="A89" s="117">
        <v>82</v>
      </c>
      <c r="B89" s="112" t="s">
        <v>140</v>
      </c>
      <c r="C89" s="137">
        <v>71715111</v>
      </c>
      <c r="D89" s="113" t="s">
        <v>372</v>
      </c>
      <c r="E89" s="114" t="s">
        <v>29</v>
      </c>
      <c r="F89" s="136" t="s">
        <v>31</v>
      </c>
      <c r="G89" s="115">
        <v>50.650000000000006</v>
      </c>
      <c r="H89" s="115">
        <v>60</v>
      </c>
      <c r="I89" s="116">
        <v>53.449999999999996</v>
      </c>
      <c r="J89" s="113" t="s">
        <v>23</v>
      </c>
      <c r="K89" s="117" t="s">
        <v>26</v>
      </c>
      <c r="L89" s="117" t="s">
        <v>371</v>
      </c>
      <c r="M89" s="118" t="s">
        <v>53</v>
      </c>
      <c r="O89" s="156">
        <v>0.55333333333333323</v>
      </c>
      <c r="P89" s="157">
        <v>0.53</v>
      </c>
      <c r="Q89" s="157">
        <v>0.51600000000000001</v>
      </c>
      <c r="R89" s="157"/>
      <c r="T89" s="113">
        <v>947725281</v>
      </c>
      <c r="U89" s="113"/>
      <c r="V89" s="113" t="s">
        <v>141</v>
      </c>
    </row>
    <row r="90" spans="1:22" ht="26.1" customHeight="1" x14ac:dyDescent="0.35">
      <c r="A90" s="111">
        <v>83</v>
      </c>
      <c r="B90" s="112" t="s">
        <v>285</v>
      </c>
      <c r="C90" s="137">
        <v>60488934</v>
      </c>
      <c r="D90" s="113" t="s">
        <v>97</v>
      </c>
      <c r="E90" s="114" t="s">
        <v>29</v>
      </c>
      <c r="F90" s="136" t="s">
        <v>15</v>
      </c>
      <c r="G90" s="115">
        <v>46.650000000000006</v>
      </c>
      <c r="H90" s="115">
        <v>66.649999999999991</v>
      </c>
      <c r="I90" s="116">
        <v>52.65</v>
      </c>
      <c r="J90" s="113" t="s">
        <v>23</v>
      </c>
      <c r="K90" s="117" t="s">
        <v>26</v>
      </c>
      <c r="L90" s="117" t="s">
        <v>322</v>
      </c>
      <c r="M90" s="118" t="s">
        <v>53</v>
      </c>
      <c r="O90" s="156">
        <v>0.64666666666666661</v>
      </c>
      <c r="P90" s="157">
        <v>0.52</v>
      </c>
      <c r="Q90" s="157">
        <v>0.376</v>
      </c>
      <c r="R90" s="157"/>
      <c r="T90" s="113">
        <v>930863023</v>
      </c>
      <c r="U90" s="113"/>
      <c r="V90" s="113" t="s">
        <v>286</v>
      </c>
    </row>
    <row r="91" spans="1:22" ht="26.1" customHeight="1" x14ac:dyDescent="0.35">
      <c r="A91" s="117">
        <v>84</v>
      </c>
      <c r="B91" s="112" t="s">
        <v>104</v>
      </c>
      <c r="C91" s="137">
        <v>73156257</v>
      </c>
      <c r="D91" s="113" t="s">
        <v>78</v>
      </c>
      <c r="E91" s="114" t="s">
        <v>29</v>
      </c>
      <c r="F91" s="136" t="s">
        <v>1</v>
      </c>
      <c r="G91" s="115">
        <v>37.35</v>
      </c>
      <c r="H91" s="115">
        <v>86.649999999999991</v>
      </c>
      <c r="I91" s="116">
        <v>52.15</v>
      </c>
      <c r="J91" s="113" t="s">
        <v>23</v>
      </c>
      <c r="K91" s="117" t="s">
        <v>26</v>
      </c>
      <c r="L91" s="117" t="s">
        <v>322</v>
      </c>
      <c r="M91" s="118" t="s">
        <v>53</v>
      </c>
      <c r="O91" s="156">
        <v>0.61333333333333329</v>
      </c>
      <c r="P91" s="157">
        <v>0.52</v>
      </c>
      <c r="Q91" s="157">
        <v>0.41199999999999998</v>
      </c>
      <c r="R91" s="157"/>
      <c r="T91" s="113">
        <v>996674743</v>
      </c>
      <c r="U91" s="113"/>
      <c r="V91" s="113" t="s">
        <v>105</v>
      </c>
    </row>
    <row r="92" spans="1:22" ht="26.1" customHeight="1" x14ac:dyDescent="0.35">
      <c r="A92" s="111">
        <v>85</v>
      </c>
      <c r="B92" s="112" t="s">
        <v>256</v>
      </c>
      <c r="C92" s="137">
        <v>73697870</v>
      </c>
      <c r="D92" s="113" t="s">
        <v>373</v>
      </c>
      <c r="E92" s="114" t="s">
        <v>29</v>
      </c>
      <c r="F92" s="136" t="s">
        <v>18</v>
      </c>
      <c r="G92" s="115">
        <v>48</v>
      </c>
      <c r="H92" s="115">
        <v>60</v>
      </c>
      <c r="I92" s="116">
        <v>51.6</v>
      </c>
      <c r="J92" s="113" t="s">
        <v>23</v>
      </c>
      <c r="K92" s="117" t="s">
        <v>26</v>
      </c>
      <c r="L92" s="117" t="s">
        <v>322</v>
      </c>
      <c r="M92" s="118" t="s">
        <v>53</v>
      </c>
      <c r="O92" s="156">
        <v>0.64666666666666661</v>
      </c>
      <c r="P92" s="157">
        <v>0.45999999999999996</v>
      </c>
      <c r="Q92" s="157">
        <v>0.48799999999999999</v>
      </c>
      <c r="R92" s="157"/>
      <c r="T92" s="113">
        <v>936720535</v>
      </c>
      <c r="U92" s="113"/>
      <c r="V92" s="113" t="s">
        <v>257</v>
      </c>
    </row>
    <row r="93" spans="1:22" ht="26.1" customHeight="1" x14ac:dyDescent="0.35">
      <c r="A93" s="117">
        <v>86</v>
      </c>
      <c r="B93" s="112" t="s">
        <v>131</v>
      </c>
      <c r="C93" s="137">
        <v>74997657</v>
      </c>
      <c r="D93" s="113" t="s">
        <v>374</v>
      </c>
      <c r="E93" s="114" t="s">
        <v>29</v>
      </c>
      <c r="F93" s="136" t="s">
        <v>15</v>
      </c>
      <c r="G93" s="115">
        <v>40</v>
      </c>
      <c r="H93" s="115">
        <v>73.350000000000009</v>
      </c>
      <c r="I93" s="116">
        <v>50</v>
      </c>
      <c r="J93" s="113" t="s">
        <v>23</v>
      </c>
      <c r="K93" s="117" t="s">
        <v>26</v>
      </c>
      <c r="L93" s="117" t="s">
        <v>322</v>
      </c>
      <c r="M93" s="118" t="s">
        <v>53</v>
      </c>
      <c r="O93" s="156">
        <v>0.61333333333333329</v>
      </c>
      <c r="P93" s="157">
        <v>0.52</v>
      </c>
      <c r="Q93" s="157">
        <v>0.34799999999999998</v>
      </c>
      <c r="R93" s="157"/>
      <c r="T93" s="113">
        <v>954555387</v>
      </c>
      <c r="U93" s="113"/>
      <c r="V93" s="113" t="s">
        <v>132</v>
      </c>
    </row>
    <row r="94" spans="1:22" ht="26.1" customHeight="1" x14ac:dyDescent="0.35">
      <c r="A94" s="111">
        <v>87</v>
      </c>
      <c r="B94" s="112" t="s">
        <v>110</v>
      </c>
      <c r="C94" s="137">
        <v>75925387</v>
      </c>
      <c r="D94" s="113" t="s">
        <v>375</v>
      </c>
      <c r="E94" s="114" t="s">
        <v>29</v>
      </c>
      <c r="F94" s="136" t="s">
        <v>31</v>
      </c>
      <c r="G94" s="115">
        <v>36</v>
      </c>
      <c r="H94" s="115">
        <v>80</v>
      </c>
      <c r="I94" s="116">
        <v>49.2</v>
      </c>
      <c r="J94" s="113" t="s">
        <v>23</v>
      </c>
      <c r="K94" s="117" t="s">
        <v>26</v>
      </c>
      <c r="L94" s="117" t="s">
        <v>322</v>
      </c>
      <c r="M94" s="118" t="s">
        <v>53</v>
      </c>
      <c r="O94" s="156">
        <v>0.61333333333333329</v>
      </c>
      <c r="P94" s="157">
        <v>0.52</v>
      </c>
      <c r="Q94" s="157">
        <v>0.32399999999999995</v>
      </c>
      <c r="R94" s="157"/>
      <c r="T94" s="113">
        <v>930227318</v>
      </c>
      <c r="U94" s="113"/>
      <c r="V94" s="113" t="s">
        <v>111</v>
      </c>
    </row>
    <row r="95" spans="1:22" ht="26.1" customHeight="1" x14ac:dyDescent="0.35">
      <c r="A95" s="117">
        <v>88</v>
      </c>
      <c r="B95" s="112" t="s">
        <v>265</v>
      </c>
      <c r="C95" s="137">
        <v>78377037</v>
      </c>
      <c r="D95" s="113" t="s">
        <v>376</v>
      </c>
      <c r="E95" s="114" t="s">
        <v>29</v>
      </c>
      <c r="F95" s="136" t="s">
        <v>18</v>
      </c>
      <c r="G95" s="115">
        <v>41.349999999999994</v>
      </c>
      <c r="H95" s="115">
        <v>66.649999999999991</v>
      </c>
      <c r="I95" s="116">
        <v>48.949999999999996</v>
      </c>
      <c r="J95" s="113" t="s">
        <v>23</v>
      </c>
      <c r="K95" s="117" t="s">
        <v>26</v>
      </c>
      <c r="L95" s="117" t="s">
        <v>322</v>
      </c>
      <c r="M95" s="118" t="s">
        <v>53</v>
      </c>
      <c r="O95" s="156">
        <v>0.7533333333333333</v>
      </c>
      <c r="P95" s="157">
        <v>0.52</v>
      </c>
      <c r="Q95" s="157">
        <v>0.40399999999999997</v>
      </c>
      <c r="R95" s="157"/>
      <c r="T95" s="113">
        <v>925466449</v>
      </c>
      <c r="U95" s="113"/>
      <c r="V95" s="113" t="s">
        <v>266</v>
      </c>
    </row>
    <row r="96" spans="1:22" ht="26.1" customHeight="1" x14ac:dyDescent="0.35">
      <c r="A96" s="111">
        <v>89</v>
      </c>
      <c r="B96" s="112" t="s">
        <v>198</v>
      </c>
      <c r="C96" s="137">
        <v>16707942</v>
      </c>
      <c r="D96" s="113" t="s">
        <v>377</v>
      </c>
      <c r="E96" s="114" t="s">
        <v>29</v>
      </c>
      <c r="F96" s="136" t="s">
        <v>16</v>
      </c>
      <c r="G96" s="115">
        <v>29.349999999999998</v>
      </c>
      <c r="H96" s="115">
        <v>93.350000000000009</v>
      </c>
      <c r="I96" s="116">
        <v>48.550000000000004</v>
      </c>
      <c r="J96" s="113" t="s">
        <v>23</v>
      </c>
      <c r="K96" s="117" t="s">
        <v>26</v>
      </c>
      <c r="L96" s="117" t="s">
        <v>371</v>
      </c>
      <c r="M96" s="118" t="s">
        <v>53</v>
      </c>
      <c r="O96" s="156">
        <v>0.48666666666666664</v>
      </c>
      <c r="P96" s="157">
        <v>0.51</v>
      </c>
      <c r="Q96" s="157">
        <v>0.46399999999999997</v>
      </c>
      <c r="R96" s="157"/>
      <c r="T96" s="113">
        <v>979650267</v>
      </c>
      <c r="U96" s="113"/>
      <c r="V96" s="113" t="s">
        <v>199</v>
      </c>
    </row>
    <row r="97" spans="1:22" ht="26.1" customHeight="1" x14ac:dyDescent="0.35">
      <c r="A97" s="117">
        <v>90</v>
      </c>
      <c r="B97" s="112" t="s">
        <v>210</v>
      </c>
      <c r="C97" s="137">
        <v>72640078</v>
      </c>
      <c r="D97" s="113" t="s">
        <v>378</v>
      </c>
      <c r="E97" s="114" t="s">
        <v>29</v>
      </c>
      <c r="F97" s="136" t="s">
        <v>11</v>
      </c>
      <c r="G97" s="115">
        <v>36</v>
      </c>
      <c r="H97" s="115">
        <v>76.649999999999991</v>
      </c>
      <c r="I97" s="116">
        <v>48.2</v>
      </c>
      <c r="J97" s="113" t="s">
        <v>23</v>
      </c>
      <c r="K97" s="117" t="s">
        <v>26</v>
      </c>
      <c r="L97" s="117" t="s">
        <v>99</v>
      </c>
      <c r="M97" s="118" t="s">
        <v>53</v>
      </c>
      <c r="O97" s="156">
        <v>0.7533333333333333</v>
      </c>
      <c r="P97" s="157">
        <v>0.6</v>
      </c>
      <c r="Q97" s="157">
        <v>0.38</v>
      </c>
      <c r="R97" s="157"/>
      <c r="T97" s="113">
        <v>933242918</v>
      </c>
      <c r="U97" s="113"/>
      <c r="V97" s="113" t="s">
        <v>211</v>
      </c>
    </row>
    <row r="98" spans="1:22" ht="26.1" customHeight="1" x14ac:dyDescent="0.35">
      <c r="A98" s="111">
        <v>91</v>
      </c>
      <c r="B98" s="112" t="s">
        <v>164</v>
      </c>
      <c r="C98" s="137">
        <v>73075858</v>
      </c>
      <c r="D98" s="113" t="s">
        <v>379</v>
      </c>
      <c r="E98" s="114" t="s">
        <v>29</v>
      </c>
      <c r="F98" s="136" t="s">
        <v>18</v>
      </c>
      <c r="G98" s="115">
        <v>36</v>
      </c>
      <c r="H98" s="115">
        <v>76.649999999999991</v>
      </c>
      <c r="I98" s="116">
        <v>48.2</v>
      </c>
      <c r="J98" s="113" t="s">
        <v>23</v>
      </c>
      <c r="K98" s="117" t="s">
        <v>26</v>
      </c>
      <c r="L98" s="117" t="s">
        <v>99</v>
      </c>
      <c r="M98" s="118" t="s">
        <v>53</v>
      </c>
      <c r="O98" s="156">
        <v>0.6</v>
      </c>
      <c r="P98" s="157">
        <v>0.65999999999999992</v>
      </c>
      <c r="Q98" s="157">
        <v>0.40799999999999997</v>
      </c>
      <c r="R98" s="157"/>
      <c r="T98" s="113">
        <v>945299249</v>
      </c>
      <c r="U98" s="113"/>
      <c r="V98" s="113" t="s">
        <v>165</v>
      </c>
    </row>
    <row r="99" spans="1:22" ht="26.1" customHeight="1" x14ac:dyDescent="0.35">
      <c r="A99" s="117">
        <v>92</v>
      </c>
      <c r="B99" s="112" t="s">
        <v>160</v>
      </c>
      <c r="C99" s="137">
        <v>71097212</v>
      </c>
      <c r="D99" s="113" t="s">
        <v>380</v>
      </c>
      <c r="E99" s="114" t="s">
        <v>29</v>
      </c>
      <c r="F99" s="136" t="s">
        <v>18</v>
      </c>
      <c r="G99" s="115">
        <v>42.65</v>
      </c>
      <c r="H99" s="115">
        <v>60</v>
      </c>
      <c r="I99" s="116">
        <v>47.85</v>
      </c>
      <c r="J99" s="113" t="s">
        <v>23</v>
      </c>
      <c r="K99" s="117" t="s">
        <v>26</v>
      </c>
      <c r="L99" s="117" t="s">
        <v>322</v>
      </c>
      <c r="M99" s="118" t="s">
        <v>53</v>
      </c>
      <c r="O99" s="156">
        <v>0.6</v>
      </c>
      <c r="P99" s="157">
        <v>0.39</v>
      </c>
      <c r="Q99" s="157">
        <v>0.45999999999999996</v>
      </c>
      <c r="R99" s="157"/>
      <c r="T99" s="113">
        <v>929295336</v>
      </c>
      <c r="U99" s="113"/>
      <c r="V99" s="113" t="s">
        <v>161</v>
      </c>
    </row>
    <row r="100" spans="1:22" ht="26.1" customHeight="1" x14ac:dyDescent="0.35">
      <c r="A100" s="111">
        <v>93</v>
      </c>
      <c r="B100" s="112" t="s">
        <v>172</v>
      </c>
      <c r="C100" s="137">
        <v>75195231</v>
      </c>
      <c r="D100" s="113" t="s">
        <v>381</v>
      </c>
      <c r="E100" s="114" t="s">
        <v>29</v>
      </c>
      <c r="F100" s="136" t="s">
        <v>20</v>
      </c>
      <c r="G100" s="115">
        <v>40</v>
      </c>
      <c r="H100" s="115">
        <v>60</v>
      </c>
      <c r="I100" s="116">
        <v>46</v>
      </c>
      <c r="J100" s="113" t="s">
        <v>23</v>
      </c>
      <c r="K100" s="117" t="s">
        <v>26</v>
      </c>
      <c r="L100" s="117" t="s">
        <v>371</v>
      </c>
      <c r="M100" s="118" t="s">
        <v>53</v>
      </c>
      <c r="O100" s="156">
        <v>0.55333333333333323</v>
      </c>
      <c r="P100" s="157">
        <v>0.45999999999999996</v>
      </c>
      <c r="Q100" s="157">
        <v>0.34799999999999998</v>
      </c>
      <c r="R100" s="157"/>
      <c r="T100" s="113">
        <v>982171198</v>
      </c>
      <c r="U100" s="113"/>
      <c r="V100" s="113" t="s">
        <v>173</v>
      </c>
    </row>
    <row r="101" spans="1:22" ht="26.1" customHeight="1" x14ac:dyDescent="0.35">
      <c r="A101" s="117">
        <v>94</v>
      </c>
      <c r="B101" s="112" t="s">
        <v>293</v>
      </c>
      <c r="C101" s="137">
        <v>74770635</v>
      </c>
      <c r="D101" s="113" t="s">
        <v>382</v>
      </c>
      <c r="E101" s="114" t="s">
        <v>29</v>
      </c>
      <c r="F101" s="136" t="s">
        <v>14</v>
      </c>
      <c r="G101" s="115">
        <v>25.35</v>
      </c>
      <c r="H101" s="115">
        <v>91.649999999999991</v>
      </c>
      <c r="I101" s="116">
        <v>45.25</v>
      </c>
      <c r="J101" s="113" t="s">
        <v>23</v>
      </c>
      <c r="K101" s="117" t="s">
        <v>26</v>
      </c>
      <c r="L101" s="117" t="s">
        <v>322</v>
      </c>
      <c r="M101" s="118" t="s">
        <v>53</v>
      </c>
      <c r="O101" s="156">
        <v>0.70666666666666655</v>
      </c>
      <c r="P101" s="157">
        <v>0.55999999999999994</v>
      </c>
      <c r="Q101" s="157">
        <v>0.35599999999999998</v>
      </c>
      <c r="R101" s="157"/>
      <c r="T101" s="113">
        <v>979351961</v>
      </c>
      <c r="U101" s="113"/>
      <c r="V101" s="113" t="s">
        <v>294</v>
      </c>
    </row>
    <row r="102" spans="1:22" ht="26.1" customHeight="1" x14ac:dyDescent="0.35">
      <c r="A102" s="111">
        <v>95</v>
      </c>
      <c r="B102" s="112" t="s">
        <v>287</v>
      </c>
      <c r="C102" s="137">
        <v>76858255</v>
      </c>
      <c r="D102" s="113" t="s">
        <v>383</v>
      </c>
      <c r="E102" s="114" t="s">
        <v>29</v>
      </c>
      <c r="F102" s="136" t="s">
        <v>11</v>
      </c>
      <c r="G102" s="115">
        <v>34.65</v>
      </c>
      <c r="H102" s="115">
        <v>66.649999999999991</v>
      </c>
      <c r="I102" s="116">
        <v>44.25</v>
      </c>
      <c r="J102" s="113" t="s">
        <v>23</v>
      </c>
      <c r="K102" s="117" t="s">
        <v>26</v>
      </c>
      <c r="L102" s="117" t="s">
        <v>322</v>
      </c>
      <c r="M102" s="118" t="s">
        <v>53</v>
      </c>
      <c r="O102" s="156">
        <v>0.64666666666666661</v>
      </c>
      <c r="P102" s="157">
        <v>0.33999999999999997</v>
      </c>
      <c r="Q102" s="157">
        <v>0.40799999999999997</v>
      </c>
      <c r="R102" s="157"/>
      <c r="T102" s="113">
        <v>928158893</v>
      </c>
      <c r="U102" s="113"/>
      <c r="V102" s="113" t="s">
        <v>288</v>
      </c>
    </row>
    <row r="103" spans="1:22" ht="26.1" customHeight="1" x14ac:dyDescent="0.35">
      <c r="A103" s="117">
        <v>96</v>
      </c>
      <c r="B103" s="112" t="s">
        <v>271</v>
      </c>
      <c r="C103" s="137">
        <v>75875861</v>
      </c>
      <c r="D103" s="113" t="s">
        <v>384</v>
      </c>
      <c r="E103" s="114" t="s">
        <v>29</v>
      </c>
      <c r="F103" s="136" t="s">
        <v>16</v>
      </c>
      <c r="G103" s="115">
        <v>20</v>
      </c>
      <c r="H103" s="115">
        <v>93.350000000000009</v>
      </c>
      <c r="I103" s="116">
        <v>42.000000000000007</v>
      </c>
      <c r="J103" s="113" t="s">
        <v>23</v>
      </c>
      <c r="K103" s="117" t="s">
        <v>26</v>
      </c>
      <c r="L103" s="117" t="s">
        <v>371</v>
      </c>
      <c r="M103" s="118" t="s">
        <v>53</v>
      </c>
      <c r="O103" s="156">
        <v>0.53333333333333333</v>
      </c>
      <c r="P103" s="157">
        <v>0.43999999999999995</v>
      </c>
      <c r="Q103" s="157">
        <v>0.26800000000000002</v>
      </c>
      <c r="R103" s="157"/>
      <c r="T103" s="113">
        <v>955696083</v>
      </c>
      <c r="U103" s="113"/>
      <c r="V103" s="113" t="s">
        <v>272</v>
      </c>
    </row>
    <row r="104" spans="1:22" ht="26.1" customHeight="1" x14ac:dyDescent="0.35">
      <c r="A104" s="111">
        <v>97</v>
      </c>
      <c r="B104" s="112" t="s">
        <v>204</v>
      </c>
      <c r="C104" s="137">
        <v>48230913</v>
      </c>
      <c r="D104" s="113" t="s">
        <v>385</v>
      </c>
      <c r="E104" s="114" t="s">
        <v>29</v>
      </c>
      <c r="F104" s="136" t="s">
        <v>17</v>
      </c>
      <c r="G104" s="115">
        <v>32</v>
      </c>
      <c r="H104" s="115">
        <v>60</v>
      </c>
      <c r="I104" s="116">
        <v>40.400000000000006</v>
      </c>
      <c r="J104" s="113" t="s">
        <v>23</v>
      </c>
      <c r="K104" s="117" t="s">
        <v>26</v>
      </c>
      <c r="L104" s="117" t="s">
        <v>322</v>
      </c>
      <c r="M104" s="118" t="s">
        <v>53</v>
      </c>
      <c r="O104" s="156">
        <v>0.69333333333333336</v>
      </c>
      <c r="P104" s="157">
        <v>0.39</v>
      </c>
      <c r="Q104" s="157">
        <v>0.31999999999999995</v>
      </c>
      <c r="R104" s="157"/>
      <c r="T104" s="113">
        <v>963295122</v>
      </c>
      <c r="U104" s="113"/>
      <c r="V104" s="113" t="s">
        <v>205</v>
      </c>
    </row>
    <row r="105" spans="1:22" ht="26.1" customHeight="1" x14ac:dyDescent="0.35">
      <c r="A105" s="117">
        <v>98</v>
      </c>
      <c r="B105" s="112" t="s">
        <v>182</v>
      </c>
      <c r="C105" s="137">
        <v>74961990</v>
      </c>
      <c r="D105" s="113" t="s">
        <v>386</v>
      </c>
      <c r="E105" s="114" t="s">
        <v>29</v>
      </c>
      <c r="F105" s="136" t="s">
        <v>20</v>
      </c>
      <c r="G105" s="115">
        <v>32</v>
      </c>
      <c r="H105" s="115">
        <v>60</v>
      </c>
      <c r="I105" s="116">
        <v>40.400000000000006</v>
      </c>
      <c r="J105" s="113" t="s">
        <v>23</v>
      </c>
      <c r="K105" s="117" t="s">
        <v>26</v>
      </c>
      <c r="L105" s="117" t="s">
        <v>371</v>
      </c>
      <c r="M105" s="118" t="s">
        <v>53</v>
      </c>
      <c r="O105" s="156">
        <v>0.5066666666666666</v>
      </c>
      <c r="P105" s="157">
        <v>0.45999999999999996</v>
      </c>
      <c r="Q105" s="157">
        <v>0.23599999999999999</v>
      </c>
      <c r="R105" s="157"/>
      <c r="T105" s="113">
        <v>981332992</v>
      </c>
      <c r="U105" s="113"/>
      <c r="V105" s="113" t="s">
        <v>183</v>
      </c>
    </row>
    <row r="106" spans="1:22" ht="26.1" customHeight="1" x14ac:dyDescent="0.35">
      <c r="A106" s="111">
        <v>99</v>
      </c>
      <c r="B106" s="112" t="s">
        <v>202</v>
      </c>
      <c r="C106" s="137">
        <v>74765266</v>
      </c>
      <c r="D106" s="113" t="s">
        <v>387</v>
      </c>
      <c r="E106" s="114" t="s">
        <v>29</v>
      </c>
      <c r="F106" s="136" t="s">
        <v>18</v>
      </c>
      <c r="G106" s="115">
        <v>27.999999999999996</v>
      </c>
      <c r="H106" s="115">
        <v>66.649999999999991</v>
      </c>
      <c r="I106" s="116">
        <v>39.6</v>
      </c>
      <c r="J106" s="113" t="s">
        <v>24</v>
      </c>
      <c r="K106" s="117" t="s">
        <v>388</v>
      </c>
      <c r="L106" s="117" t="s">
        <v>388</v>
      </c>
      <c r="M106" s="118" t="s">
        <v>53</v>
      </c>
      <c r="O106" s="156">
        <v>0.70666666666666655</v>
      </c>
      <c r="P106" s="157">
        <v>0.44999999999999996</v>
      </c>
      <c r="Q106" s="157">
        <v>0.29199999999999998</v>
      </c>
      <c r="R106" s="157"/>
      <c r="T106" s="113">
        <v>943419417</v>
      </c>
      <c r="U106" s="113"/>
      <c r="V106" s="113" t="s">
        <v>203</v>
      </c>
    </row>
    <row r="107" spans="1:22" ht="26.1" customHeight="1" x14ac:dyDescent="0.35">
      <c r="A107" s="117">
        <v>100</v>
      </c>
      <c r="B107" s="112" t="s">
        <v>180</v>
      </c>
      <c r="C107" s="137">
        <v>76127711</v>
      </c>
      <c r="D107" s="113" t="s">
        <v>389</v>
      </c>
      <c r="E107" s="114" t="s">
        <v>29</v>
      </c>
      <c r="F107" s="136" t="s">
        <v>13</v>
      </c>
      <c r="G107" s="115">
        <v>16</v>
      </c>
      <c r="H107" s="115">
        <v>80</v>
      </c>
      <c r="I107" s="116">
        <v>35.199999999999996</v>
      </c>
      <c r="J107" s="113" t="s">
        <v>24</v>
      </c>
      <c r="K107" s="117" t="s">
        <v>388</v>
      </c>
      <c r="L107" s="117" t="s">
        <v>388</v>
      </c>
      <c r="M107" s="118" t="s">
        <v>53</v>
      </c>
      <c r="O107" s="156">
        <v>0.38</v>
      </c>
      <c r="P107" s="157">
        <v>0.31</v>
      </c>
      <c r="Q107" s="157">
        <v>0.35199999999999998</v>
      </c>
      <c r="R107" s="157"/>
      <c r="T107" s="113">
        <v>938275304</v>
      </c>
      <c r="U107" s="113"/>
      <c r="V107" s="113" t="s">
        <v>181</v>
      </c>
    </row>
    <row r="108" spans="1:22" ht="26.1" customHeight="1" x14ac:dyDescent="0.35">
      <c r="A108" s="111">
        <v>101</v>
      </c>
      <c r="B108" s="112" t="s">
        <v>158</v>
      </c>
      <c r="C108" s="137">
        <v>76432381</v>
      </c>
      <c r="D108" s="113" t="s">
        <v>390</v>
      </c>
      <c r="E108" s="114" t="s">
        <v>29</v>
      </c>
      <c r="F108" s="136" t="s">
        <v>17</v>
      </c>
      <c r="G108" s="115">
        <v>22.650000000000002</v>
      </c>
      <c r="H108" s="115">
        <v>60</v>
      </c>
      <c r="I108" s="116">
        <v>33.849999999999994</v>
      </c>
      <c r="J108" s="113" t="s">
        <v>24</v>
      </c>
      <c r="K108" s="117" t="s">
        <v>388</v>
      </c>
      <c r="L108" s="117" t="s">
        <v>388</v>
      </c>
      <c r="M108" s="118" t="s">
        <v>53</v>
      </c>
      <c r="O108" s="156">
        <v>0.5066666666666666</v>
      </c>
      <c r="P108" s="157">
        <v>0.31999999999999995</v>
      </c>
      <c r="Q108" s="157">
        <v>0.29199999999999998</v>
      </c>
      <c r="R108" s="157"/>
      <c r="T108" s="113">
        <v>956954578</v>
      </c>
      <c r="U108" s="113"/>
      <c r="V108" s="113" t="s">
        <v>159</v>
      </c>
    </row>
    <row r="109" spans="1:22" ht="26.1" customHeight="1" x14ac:dyDescent="0.35">
      <c r="A109" s="117">
        <v>102</v>
      </c>
      <c r="B109" s="112" t="s">
        <v>118</v>
      </c>
      <c r="C109" s="137">
        <v>76077960</v>
      </c>
      <c r="D109" s="113" t="s">
        <v>391</v>
      </c>
      <c r="E109" s="114" t="s">
        <v>29</v>
      </c>
      <c r="F109" s="136" t="s">
        <v>14</v>
      </c>
      <c r="G109" s="115">
        <v>17.350000000000001</v>
      </c>
      <c r="H109" s="115">
        <v>63.349999999999994</v>
      </c>
      <c r="I109" s="116">
        <v>31.15</v>
      </c>
      <c r="J109" s="113" t="s">
        <v>24</v>
      </c>
      <c r="K109" s="117" t="s">
        <v>388</v>
      </c>
      <c r="L109" s="117" t="s">
        <v>388</v>
      </c>
      <c r="M109" s="118" t="s">
        <v>53</v>
      </c>
      <c r="O109" s="156">
        <v>0.56666666666666665</v>
      </c>
      <c r="P109" s="157">
        <v>0.45999999999999996</v>
      </c>
      <c r="Q109" s="157">
        <v>0.20799999999999999</v>
      </c>
      <c r="R109" s="157"/>
      <c r="T109" s="113">
        <v>981911292</v>
      </c>
      <c r="U109" s="113"/>
      <c r="V109" s="113" t="s">
        <v>119</v>
      </c>
    </row>
    <row r="110" spans="1:22" ht="26.1" customHeight="1" x14ac:dyDescent="0.35">
      <c r="A110" s="111">
        <v>103</v>
      </c>
      <c r="B110" s="112" t="s">
        <v>291</v>
      </c>
      <c r="C110" s="137">
        <v>73528559</v>
      </c>
      <c r="D110" s="113" t="s">
        <v>392</v>
      </c>
      <c r="E110" s="114" t="s">
        <v>29</v>
      </c>
      <c r="F110" s="136" t="s">
        <v>11</v>
      </c>
      <c r="G110" s="115">
        <v>29.349999999999998</v>
      </c>
      <c r="H110" s="115">
        <v>26.650000000000002</v>
      </c>
      <c r="I110" s="116">
        <v>28.549999999999997</v>
      </c>
      <c r="J110" s="113" t="s">
        <v>24</v>
      </c>
      <c r="K110" s="117" t="s">
        <v>388</v>
      </c>
      <c r="L110" s="117" t="s">
        <v>388</v>
      </c>
      <c r="M110" s="118" t="s">
        <v>53</v>
      </c>
      <c r="O110" s="156">
        <v>0.45999999999999996</v>
      </c>
      <c r="P110" s="157">
        <v>0.48</v>
      </c>
      <c r="Q110" s="157">
        <v>0.19999999999999998</v>
      </c>
      <c r="R110" s="157"/>
      <c r="T110" s="113">
        <v>936846724</v>
      </c>
      <c r="U110" s="113"/>
      <c r="V110" s="113" t="s">
        <v>292</v>
      </c>
    </row>
    <row r="112" spans="1:22" x14ac:dyDescent="0.25">
      <c r="D112" s="119"/>
    </row>
  </sheetData>
  <sheetProtection autoFilter="0"/>
  <autoFilter ref="A7:V110" xr:uid="{00000000-0009-0000-0000-000004000000}"/>
  <mergeCells count="5">
    <mergeCell ref="A2:M2"/>
    <mergeCell ref="E1:M1"/>
    <mergeCell ref="A3:M3"/>
    <mergeCell ref="A5:M5"/>
    <mergeCell ref="K6:M6"/>
  </mergeCells>
  <conditionalFormatting sqref="A8:V110">
    <cfRule type="expression" dxfId="54" priority="1456">
      <formula>$J8="OBSERVADO"</formula>
    </cfRule>
    <cfRule type="expression" dxfId="53" priority="1457">
      <formula>$J8="NO ALCANZÓ VACANTE"</formula>
    </cfRule>
    <cfRule type="expression" dxfId="52" priority="1458">
      <formula>$J8="NO INGRESANTE"</formula>
    </cfRule>
  </conditionalFormatting>
  <pageMargins left="0.23622047244094491" right="0.27559055118110237" top="0.47244094488188981" bottom="0.51181102362204722" header="0.31496062992125984" footer="0.31496062992125984"/>
  <pageSetup paperSize="9" scale="15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79F84-E5BA-4065-81BF-52745EB1C406}">
  <sheetPr>
    <tabColor theme="7"/>
  </sheetPr>
  <dimension ref="A2:C19"/>
  <sheetViews>
    <sheetView workbookViewId="0">
      <selection activeCell="C5" sqref="C5:C8"/>
    </sheetView>
  </sheetViews>
  <sheetFormatPr baseColWidth="10" defaultRowHeight="15" x14ac:dyDescent="0.25"/>
  <cols>
    <col min="2" max="2" width="27.140625" bestFit="1" customWidth="1"/>
    <col min="3" max="3" width="80.42578125" bestFit="1" customWidth="1"/>
  </cols>
  <sheetData>
    <row r="2" spans="1:3" x14ac:dyDescent="0.25">
      <c r="A2" s="262" t="s">
        <v>481</v>
      </c>
      <c r="B2" s="262"/>
      <c r="C2" s="262"/>
    </row>
    <row r="4" spans="1:3" x14ac:dyDescent="0.25">
      <c r="A4" s="229" t="s">
        <v>28</v>
      </c>
      <c r="B4" s="239" t="s">
        <v>398</v>
      </c>
      <c r="C4" s="241" t="s">
        <v>399</v>
      </c>
    </row>
    <row r="5" spans="1:3" x14ac:dyDescent="0.25">
      <c r="A5">
        <v>1</v>
      </c>
      <c r="B5" s="245" t="s">
        <v>436</v>
      </c>
      <c r="C5" s="242" t="s">
        <v>482</v>
      </c>
    </row>
    <row r="6" spans="1:3" x14ac:dyDescent="0.25">
      <c r="A6">
        <v>2</v>
      </c>
      <c r="B6" s="243" t="s">
        <v>437</v>
      </c>
      <c r="C6" s="242" t="s">
        <v>483</v>
      </c>
    </row>
    <row r="7" spans="1:3" x14ac:dyDescent="0.25">
      <c r="A7">
        <v>3</v>
      </c>
      <c r="B7" s="243" t="s">
        <v>438</v>
      </c>
      <c r="C7" s="242" t="s">
        <v>484</v>
      </c>
    </row>
    <row r="8" spans="1:3" x14ac:dyDescent="0.25">
      <c r="A8">
        <v>4</v>
      </c>
      <c r="B8" s="243" t="s">
        <v>439</v>
      </c>
      <c r="C8" s="242" t="s">
        <v>485</v>
      </c>
    </row>
    <row r="9" spans="1:3" x14ac:dyDescent="0.25">
      <c r="A9">
        <v>5</v>
      </c>
      <c r="B9" s="227" t="s">
        <v>435</v>
      </c>
      <c r="C9" s="242" t="s">
        <v>486</v>
      </c>
    </row>
    <row r="10" spans="1:3" x14ac:dyDescent="0.25">
      <c r="A10">
        <v>6</v>
      </c>
      <c r="B10" s="245" t="s">
        <v>452</v>
      </c>
      <c r="C10" s="242" t="s">
        <v>487</v>
      </c>
    </row>
    <row r="11" spans="1:3" x14ac:dyDescent="0.25">
      <c r="A11">
        <v>7</v>
      </c>
      <c r="B11" s="227" t="s">
        <v>442</v>
      </c>
      <c r="C11" s="242" t="s">
        <v>488</v>
      </c>
    </row>
    <row r="12" spans="1:3" x14ac:dyDescent="0.25">
      <c r="A12">
        <v>8</v>
      </c>
      <c r="B12" s="227" t="s">
        <v>443</v>
      </c>
      <c r="C12" s="242" t="s">
        <v>489</v>
      </c>
    </row>
    <row r="13" spans="1:3" x14ac:dyDescent="0.25">
      <c r="A13">
        <v>9</v>
      </c>
      <c r="B13" s="227" t="s">
        <v>444</v>
      </c>
      <c r="C13" s="242" t="s">
        <v>490</v>
      </c>
    </row>
    <row r="14" spans="1:3" x14ac:dyDescent="0.25">
      <c r="A14">
        <v>10</v>
      </c>
      <c r="B14" s="244" t="s">
        <v>445</v>
      </c>
      <c r="C14" s="242" t="s">
        <v>491</v>
      </c>
    </row>
    <row r="15" spans="1:3" x14ac:dyDescent="0.25">
      <c r="A15">
        <v>11</v>
      </c>
      <c r="B15" s="227" t="s">
        <v>458</v>
      </c>
      <c r="C15" s="242" t="s">
        <v>492</v>
      </c>
    </row>
    <row r="16" spans="1:3" x14ac:dyDescent="0.25">
      <c r="A16">
        <v>12</v>
      </c>
      <c r="B16" s="227" t="s">
        <v>460</v>
      </c>
      <c r="C16" s="242" t="s">
        <v>493</v>
      </c>
    </row>
    <row r="17" spans="1:3" x14ac:dyDescent="0.25">
      <c r="A17">
        <v>13</v>
      </c>
      <c r="B17" s="227" t="s">
        <v>461</v>
      </c>
      <c r="C17" s="242" t="s">
        <v>494</v>
      </c>
    </row>
    <row r="18" spans="1:3" x14ac:dyDescent="0.25">
      <c r="A18">
        <v>14</v>
      </c>
      <c r="B18" s="227" t="s">
        <v>462</v>
      </c>
      <c r="C18" s="242" t="s">
        <v>495</v>
      </c>
    </row>
    <row r="19" spans="1:3" x14ac:dyDescent="0.25">
      <c r="A19">
        <v>15</v>
      </c>
      <c r="B19" s="227" t="s">
        <v>463</v>
      </c>
      <c r="C19" s="242" t="s">
        <v>496</v>
      </c>
    </row>
  </sheetData>
  <mergeCells count="1">
    <mergeCell ref="A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CBD18-BF17-439A-BEA1-DBF5459676D7}">
  <sheetPr codeName="Hoja20">
    <tabColor rgb="FFFFC000"/>
    <pageSetUpPr fitToPage="1"/>
  </sheetPr>
  <dimension ref="A1:O21"/>
  <sheetViews>
    <sheetView zoomScale="90" zoomScaleNormal="90" zoomScaleSheetLayoutView="110" workbookViewId="0">
      <pane ySplit="5" topLeftCell="A6" activePane="bottomLeft" state="frozen"/>
      <selection pane="bottomLeft" activeCell="N5" sqref="N5"/>
    </sheetView>
  </sheetViews>
  <sheetFormatPr baseColWidth="10" defaultRowHeight="15.75" x14ac:dyDescent="0.25"/>
  <cols>
    <col min="1" max="1" width="48.7109375" style="122" customWidth="1"/>
    <col min="2" max="4" width="10.85546875" style="12" customWidth="1"/>
    <col min="5" max="5" width="9.85546875" style="1" bestFit="1" customWidth="1"/>
    <col min="6" max="6" width="18.140625" style="122" customWidth="1"/>
    <col min="7" max="7" width="18.28515625" style="1" customWidth="1"/>
    <col min="8" max="8" width="18.140625" style="1" bestFit="1" customWidth="1"/>
    <col min="9" max="9" width="14" style="1" customWidth="1"/>
    <col min="10" max="10" width="17" style="1" customWidth="1"/>
    <col min="11" max="11" width="16.7109375" style="1" customWidth="1"/>
    <col min="12" max="12" width="17.85546875" style="1" customWidth="1"/>
    <col min="13" max="13" width="19" style="122" bestFit="1" customWidth="1"/>
    <col min="14" max="14" width="11.42578125" style="122"/>
    <col min="15" max="15" width="16" style="122" bestFit="1" customWidth="1"/>
    <col min="16" max="16384" width="11.42578125" style="122"/>
  </cols>
  <sheetData>
    <row r="1" spans="1:15" ht="71.25" customHeight="1" x14ac:dyDescent="0.25"/>
    <row r="2" spans="1:15" ht="20.25" customHeight="1" x14ac:dyDescent="0.25"/>
    <row r="3" spans="1:15" ht="20.25" thickBot="1" x14ac:dyDescent="0.35">
      <c r="A3" s="120" t="s">
        <v>393</v>
      </c>
      <c r="B3" s="120"/>
      <c r="C3" s="120"/>
      <c r="D3" s="120"/>
      <c r="E3" s="123"/>
      <c r="F3" s="212"/>
      <c r="G3" s="123"/>
      <c r="H3" s="213"/>
      <c r="I3" s="123"/>
      <c r="J3" s="123"/>
      <c r="K3" s="212"/>
      <c r="L3" s="212"/>
    </row>
    <row r="4" spans="1:15" ht="9" customHeight="1" thickTop="1" x14ac:dyDescent="0.3">
      <c r="A4" s="106"/>
      <c r="B4" s="123"/>
      <c r="C4" s="123"/>
      <c r="D4" s="123"/>
      <c r="E4" s="123"/>
      <c r="G4" s="123"/>
      <c r="H4" s="211"/>
      <c r="I4" s="123"/>
      <c r="J4" s="123"/>
      <c r="K4" s="123"/>
      <c r="L4" s="123"/>
    </row>
    <row r="5" spans="1:15" s="155" customFormat="1" ht="44.25" customHeight="1" x14ac:dyDescent="0.25">
      <c r="A5" s="152" t="s">
        <v>6</v>
      </c>
      <c r="B5" s="154" t="s">
        <v>10</v>
      </c>
      <c r="C5" s="228" t="s">
        <v>440</v>
      </c>
      <c r="D5" s="228" t="s">
        <v>441</v>
      </c>
      <c r="E5" s="125" t="s">
        <v>435</v>
      </c>
      <c r="F5" s="128" t="s">
        <v>452</v>
      </c>
      <c r="G5" s="125" t="s">
        <v>32</v>
      </c>
      <c r="H5" s="126" t="s">
        <v>52</v>
      </c>
      <c r="I5" s="125" t="s">
        <v>24</v>
      </c>
      <c r="J5" s="127" t="s">
        <v>455</v>
      </c>
      <c r="K5" s="125" t="s">
        <v>458</v>
      </c>
      <c r="L5" s="125" t="s">
        <v>459</v>
      </c>
      <c r="M5" s="162" t="s">
        <v>461</v>
      </c>
      <c r="N5" s="162" t="s">
        <v>462</v>
      </c>
      <c r="O5" s="162" t="s">
        <v>463</v>
      </c>
    </row>
    <row r="6" spans="1:15" x14ac:dyDescent="0.25">
      <c r="A6" s="153" t="s">
        <v>31</v>
      </c>
      <c r="B6" s="105" t="s">
        <v>394</v>
      </c>
      <c r="C6" s="105">
        <v>9.84</v>
      </c>
      <c r="D6" s="105">
        <v>13.55</v>
      </c>
      <c r="E6" s="105">
        <v>7</v>
      </c>
      <c r="F6" s="132">
        <v>9.5</v>
      </c>
      <c r="G6" s="130">
        <v>10</v>
      </c>
      <c r="H6" s="105">
        <v>0</v>
      </c>
      <c r="I6" s="105">
        <v>0</v>
      </c>
      <c r="J6" s="131">
        <v>10</v>
      </c>
      <c r="K6" s="105">
        <v>9</v>
      </c>
      <c r="L6" s="105">
        <v>1</v>
      </c>
      <c r="M6" s="187"/>
      <c r="N6" s="160"/>
      <c r="O6" s="160"/>
    </row>
    <row r="7" spans="1:15" x14ac:dyDescent="0.25">
      <c r="A7" s="153" t="s">
        <v>11</v>
      </c>
      <c r="B7" s="105" t="s">
        <v>394</v>
      </c>
      <c r="C7" s="105">
        <v>5.71</v>
      </c>
      <c r="D7" s="105">
        <v>16.75</v>
      </c>
      <c r="E7" s="105">
        <v>5</v>
      </c>
      <c r="F7" s="132">
        <v>8.5</v>
      </c>
      <c r="G7" s="130">
        <v>8</v>
      </c>
      <c r="H7" s="105">
        <v>0</v>
      </c>
      <c r="I7" s="105">
        <v>1</v>
      </c>
      <c r="J7" s="131">
        <v>9</v>
      </c>
      <c r="K7" s="105">
        <v>7</v>
      </c>
      <c r="L7" s="105">
        <v>1</v>
      </c>
      <c r="M7" s="188"/>
      <c r="N7" s="159"/>
      <c r="O7" s="159"/>
    </row>
    <row r="8" spans="1:15" x14ac:dyDescent="0.25">
      <c r="A8" s="153" t="s">
        <v>1</v>
      </c>
      <c r="B8" s="105" t="s">
        <v>394</v>
      </c>
      <c r="C8" s="105">
        <v>10.43</v>
      </c>
      <c r="D8" s="105">
        <v>14.75</v>
      </c>
      <c r="E8" s="105">
        <v>2</v>
      </c>
      <c r="F8" s="132">
        <v>10</v>
      </c>
      <c r="G8" s="130">
        <v>4</v>
      </c>
      <c r="H8" s="105">
        <v>0</v>
      </c>
      <c r="I8" s="105">
        <v>0</v>
      </c>
      <c r="J8" s="131">
        <v>4</v>
      </c>
      <c r="K8" s="105">
        <v>3</v>
      </c>
      <c r="L8" s="105">
        <v>1</v>
      </c>
      <c r="M8" s="188"/>
      <c r="N8" s="159"/>
      <c r="O8" s="159"/>
    </row>
    <row r="9" spans="1:15" x14ac:dyDescent="0.25">
      <c r="A9" s="153" t="s">
        <v>20</v>
      </c>
      <c r="B9" s="105" t="s">
        <v>394</v>
      </c>
      <c r="C9" s="105">
        <v>8.08</v>
      </c>
      <c r="D9" s="105">
        <v>14.91</v>
      </c>
      <c r="E9" s="105">
        <v>2</v>
      </c>
      <c r="F9" s="132">
        <v>8</v>
      </c>
      <c r="G9" s="130">
        <v>5</v>
      </c>
      <c r="H9" s="105">
        <v>0</v>
      </c>
      <c r="I9" s="105">
        <v>0</v>
      </c>
      <c r="J9" s="131">
        <v>5</v>
      </c>
      <c r="K9" s="105">
        <v>3</v>
      </c>
      <c r="L9" s="105">
        <v>2</v>
      </c>
      <c r="M9" s="188"/>
      <c r="N9" s="159"/>
      <c r="O9" s="159"/>
    </row>
    <row r="10" spans="1:15" x14ac:dyDescent="0.25">
      <c r="A10" s="153" t="s">
        <v>15</v>
      </c>
      <c r="B10" s="105" t="s">
        <v>394</v>
      </c>
      <c r="C10" s="105">
        <v>10</v>
      </c>
      <c r="D10" s="105">
        <v>16.96</v>
      </c>
      <c r="E10" s="105">
        <v>17</v>
      </c>
      <c r="F10" s="132">
        <v>10</v>
      </c>
      <c r="G10" s="130">
        <v>23</v>
      </c>
      <c r="H10" s="105">
        <v>0</v>
      </c>
      <c r="I10" s="105">
        <v>0</v>
      </c>
      <c r="J10" s="131">
        <v>23</v>
      </c>
      <c r="K10" s="105">
        <v>21</v>
      </c>
      <c r="L10" s="105">
        <v>2</v>
      </c>
      <c r="M10" s="188"/>
      <c r="N10" s="159"/>
      <c r="O10" s="159"/>
    </row>
    <row r="11" spans="1:15" x14ac:dyDescent="0.25">
      <c r="A11" s="153" t="s">
        <v>16</v>
      </c>
      <c r="B11" s="105" t="s">
        <v>394</v>
      </c>
      <c r="C11" s="105">
        <v>8.4</v>
      </c>
      <c r="D11" s="105">
        <v>13.84</v>
      </c>
      <c r="E11" s="105">
        <v>5</v>
      </c>
      <c r="F11" s="132">
        <v>8</v>
      </c>
      <c r="G11" s="130">
        <v>7</v>
      </c>
      <c r="H11" s="105">
        <v>0</v>
      </c>
      <c r="I11" s="105">
        <v>0</v>
      </c>
      <c r="J11" s="131">
        <v>7</v>
      </c>
      <c r="K11" s="105">
        <v>7</v>
      </c>
      <c r="L11" s="105">
        <v>0</v>
      </c>
      <c r="M11" s="188"/>
      <c r="N11" s="159"/>
      <c r="O11" s="159"/>
    </row>
    <row r="12" spans="1:15" x14ac:dyDescent="0.25">
      <c r="A12" s="153" t="s">
        <v>13</v>
      </c>
      <c r="B12" s="105" t="s">
        <v>394</v>
      </c>
      <c r="C12" s="105">
        <v>7.04</v>
      </c>
      <c r="D12" s="105">
        <v>16.8</v>
      </c>
      <c r="E12" s="105">
        <v>14</v>
      </c>
      <c r="F12" s="132">
        <v>12</v>
      </c>
      <c r="G12" s="130">
        <v>12</v>
      </c>
      <c r="H12" s="105">
        <v>3</v>
      </c>
      <c r="I12" s="105">
        <v>1</v>
      </c>
      <c r="J12" s="131">
        <v>16</v>
      </c>
      <c r="K12" s="105">
        <v>5</v>
      </c>
      <c r="L12" s="105">
        <v>7</v>
      </c>
      <c r="M12" s="188"/>
      <c r="N12" s="159"/>
      <c r="O12" s="159"/>
    </row>
    <row r="13" spans="1:15" x14ac:dyDescent="0.25">
      <c r="A13" s="153" t="s">
        <v>18</v>
      </c>
      <c r="B13" s="105" t="s">
        <v>394</v>
      </c>
      <c r="C13" s="105">
        <v>7.92</v>
      </c>
      <c r="D13" s="105">
        <v>14.11</v>
      </c>
      <c r="E13" s="105">
        <v>10</v>
      </c>
      <c r="F13" s="132">
        <v>9.5</v>
      </c>
      <c r="G13" s="130">
        <v>16</v>
      </c>
      <c r="H13" s="105">
        <v>0</v>
      </c>
      <c r="I13" s="105">
        <v>1</v>
      </c>
      <c r="J13" s="131">
        <v>17</v>
      </c>
      <c r="K13" s="105">
        <v>14</v>
      </c>
      <c r="L13" s="105">
        <v>2</v>
      </c>
      <c r="M13" s="188"/>
      <c r="N13" s="159"/>
      <c r="O13" s="159"/>
    </row>
    <row r="14" spans="1:15" x14ac:dyDescent="0.25">
      <c r="A14" s="153" t="s">
        <v>14</v>
      </c>
      <c r="B14" s="105" t="s">
        <v>394</v>
      </c>
      <c r="C14" s="105">
        <v>6.23</v>
      </c>
      <c r="D14" s="105">
        <v>15.39</v>
      </c>
      <c r="E14" s="105">
        <v>2</v>
      </c>
      <c r="F14" s="132">
        <v>9</v>
      </c>
      <c r="G14" s="130">
        <v>4</v>
      </c>
      <c r="H14" s="105">
        <v>0</v>
      </c>
      <c r="I14" s="105">
        <v>1</v>
      </c>
      <c r="J14" s="131">
        <v>5</v>
      </c>
      <c r="K14" s="105">
        <v>3</v>
      </c>
      <c r="L14" s="105">
        <v>1</v>
      </c>
      <c r="M14" s="188"/>
      <c r="N14" s="159"/>
      <c r="O14" s="159"/>
    </row>
    <row r="15" spans="1:15" x14ac:dyDescent="0.25">
      <c r="A15" s="153" t="s">
        <v>19</v>
      </c>
      <c r="B15" s="105" t="s">
        <v>394</v>
      </c>
      <c r="C15" s="105">
        <v>12.11</v>
      </c>
      <c r="D15" s="105">
        <v>16.07</v>
      </c>
      <c r="E15" s="105">
        <v>2</v>
      </c>
      <c r="F15" s="132">
        <v>12</v>
      </c>
      <c r="G15" s="130">
        <v>2</v>
      </c>
      <c r="H15" s="105">
        <v>0</v>
      </c>
      <c r="I15" s="105">
        <v>0</v>
      </c>
      <c r="J15" s="131">
        <v>2</v>
      </c>
      <c r="K15" s="105">
        <v>1</v>
      </c>
      <c r="L15" s="105">
        <v>1</v>
      </c>
      <c r="M15" s="188"/>
      <c r="N15" s="159"/>
      <c r="O15" s="159"/>
    </row>
    <row r="16" spans="1:15" x14ac:dyDescent="0.25">
      <c r="A16" s="153" t="s">
        <v>17</v>
      </c>
      <c r="B16" s="105" t="s">
        <v>394</v>
      </c>
      <c r="C16" s="105">
        <v>6.77</v>
      </c>
      <c r="D16" s="105">
        <v>16.43</v>
      </c>
      <c r="E16" s="105">
        <v>3</v>
      </c>
      <c r="F16" s="132">
        <v>8</v>
      </c>
      <c r="G16" s="130">
        <v>4</v>
      </c>
      <c r="H16" s="105">
        <v>0</v>
      </c>
      <c r="I16" s="105">
        <v>1</v>
      </c>
      <c r="J16" s="131">
        <v>5</v>
      </c>
      <c r="K16" s="105">
        <v>2</v>
      </c>
      <c r="L16" s="105">
        <v>2</v>
      </c>
      <c r="M16" s="189"/>
      <c r="N16" s="161"/>
      <c r="O16" s="161"/>
    </row>
    <row r="17" spans="1:15" ht="6" customHeight="1" x14ac:dyDescent="0.25"/>
    <row r="18" spans="1:15" x14ac:dyDescent="0.25">
      <c r="C18" s="134">
        <v>8.4118181818181821</v>
      </c>
      <c r="D18" s="134">
        <v>15.414545454545454</v>
      </c>
      <c r="E18" s="107">
        <v>69</v>
      </c>
      <c r="F18" s="134">
        <v>9.5</v>
      </c>
      <c r="G18" s="133">
        <v>95</v>
      </c>
      <c r="H18" s="107">
        <v>3</v>
      </c>
      <c r="I18" s="107">
        <v>5</v>
      </c>
      <c r="J18" s="131">
        <v>103</v>
      </c>
      <c r="K18" s="107">
        <v>75</v>
      </c>
      <c r="L18" s="107">
        <v>20</v>
      </c>
      <c r="M18" s="107"/>
      <c r="N18" s="107"/>
      <c r="O18" s="107"/>
    </row>
    <row r="20" spans="1:15" x14ac:dyDescent="0.25">
      <c r="A20" s="135"/>
    </row>
    <row r="21" spans="1:15" x14ac:dyDescent="0.25">
      <c r="A21" s="135"/>
      <c r="J21" s="12"/>
      <c r="K21" s="12"/>
    </row>
  </sheetData>
  <sheetProtection sort="0" autoFilter="0"/>
  <phoneticPr fontId="41" type="noConversion"/>
  <conditionalFormatting sqref="A6:L16">
    <cfRule type="expression" dxfId="51" priority="6">
      <formula>$B6="INACTIVO"</formula>
    </cfRule>
  </conditionalFormatting>
  <conditionalFormatting sqref="J18">
    <cfRule type="expression" dxfId="50" priority="2">
      <formula>$B18="INACTIVO"</formula>
    </cfRule>
  </conditionalFormatting>
  <pageMargins left="0.34" right="0.28000000000000003" top="0.75" bottom="0.75" header="0.3" footer="0.3"/>
  <pageSetup paperSize="9" fitToHeight="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286FB-6B8F-4288-B1F2-37F86A49C82B}">
  <dimension ref="A1:C26"/>
  <sheetViews>
    <sheetView workbookViewId="0">
      <selection activeCell="E9" sqref="E9"/>
    </sheetView>
  </sheetViews>
  <sheetFormatPr baseColWidth="10" defaultRowHeight="15" x14ac:dyDescent="0.25"/>
  <cols>
    <col min="1" max="1" width="4.7109375" customWidth="1"/>
    <col min="2" max="2" width="35.140625" bestFit="1" customWidth="1"/>
    <col min="3" max="3" width="87.85546875" bestFit="1" customWidth="1"/>
  </cols>
  <sheetData>
    <row r="1" spans="1:3" x14ac:dyDescent="0.25">
      <c r="B1" s="263" t="s">
        <v>479</v>
      </c>
      <c r="C1" s="263"/>
    </row>
    <row r="3" spans="1:3" x14ac:dyDescent="0.25">
      <c r="A3" s="246" t="s">
        <v>28</v>
      </c>
      <c r="B3" s="247" t="s">
        <v>398</v>
      </c>
      <c r="C3" s="241" t="s">
        <v>399</v>
      </c>
    </row>
    <row r="4" spans="1:3" x14ac:dyDescent="0.25">
      <c r="A4" s="242">
        <v>1</v>
      </c>
      <c r="B4" s="238" t="s">
        <v>436</v>
      </c>
      <c r="C4" s="242" t="s">
        <v>482</v>
      </c>
    </row>
    <row r="5" spans="1:3" x14ac:dyDescent="0.25">
      <c r="A5" s="242">
        <v>2</v>
      </c>
      <c r="B5" s="126" t="s">
        <v>450</v>
      </c>
      <c r="C5" s="242" t="s">
        <v>484</v>
      </c>
    </row>
    <row r="6" spans="1:3" x14ac:dyDescent="0.25">
      <c r="A6" s="242">
        <v>3</v>
      </c>
      <c r="B6" s="126" t="s">
        <v>439</v>
      </c>
      <c r="C6" s="242" t="s">
        <v>485</v>
      </c>
    </row>
    <row r="7" spans="1:3" x14ac:dyDescent="0.25">
      <c r="A7" s="242">
        <v>4</v>
      </c>
      <c r="B7" s="126" t="s">
        <v>464</v>
      </c>
      <c r="C7" s="242" t="s">
        <v>502</v>
      </c>
    </row>
    <row r="8" spans="1:3" x14ac:dyDescent="0.25">
      <c r="A8" s="242">
        <v>5</v>
      </c>
      <c r="B8" s="126" t="s">
        <v>465</v>
      </c>
      <c r="C8" s="242" t="s">
        <v>510</v>
      </c>
    </row>
    <row r="9" spans="1:3" x14ac:dyDescent="0.25">
      <c r="A9" s="242">
        <v>6</v>
      </c>
      <c r="B9" s="126" t="s">
        <v>466</v>
      </c>
      <c r="C9" s="242" t="s">
        <v>504</v>
      </c>
    </row>
    <row r="10" spans="1:3" x14ac:dyDescent="0.25">
      <c r="A10" s="242">
        <v>7</v>
      </c>
      <c r="B10" s="126" t="s">
        <v>467</v>
      </c>
      <c r="C10" s="242" t="s">
        <v>511</v>
      </c>
    </row>
    <row r="11" spans="1:3" x14ac:dyDescent="0.25">
      <c r="A11" s="242">
        <v>8</v>
      </c>
      <c r="B11" s="126" t="s">
        <v>468</v>
      </c>
      <c r="C11" s="242" t="s">
        <v>505</v>
      </c>
    </row>
    <row r="12" spans="1:3" x14ac:dyDescent="0.25">
      <c r="A12" s="242">
        <v>9</v>
      </c>
      <c r="B12" s="126" t="s">
        <v>469</v>
      </c>
      <c r="C12" s="242" t="s">
        <v>512</v>
      </c>
    </row>
    <row r="13" spans="1:3" x14ac:dyDescent="0.25">
      <c r="A13" s="242">
        <v>10</v>
      </c>
      <c r="B13" s="126" t="s">
        <v>470</v>
      </c>
      <c r="C13" s="242" t="s">
        <v>506</v>
      </c>
    </row>
    <row r="14" spans="1:3" x14ac:dyDescent="0.25">
      <c r="A14" s="242">
        <v>11</v>
      </c>
      <c r="B14" s="126" t="s">
        <v>471</v>
      </c>
      <c r="C14" s="242" t="s">
        <v>513</v>
      </c>
    </row>
    <row r="15" spans="1:3" x14ac:dyDescent="0.25">
      <c r="A15" s="242">
        <v>12</v>
      </c>
      <c r="B15" s="126" t="s">
        <v>472</v>
      </c>
      <c r="C15" s="242" t="s">
        <v>507</v>
      </c>
    </row>
    <row r="16" spans="1:3" x14ac:dyDescent="0.25">
      <c r="A16" s="242">
        <v>13</v>
      </c>
      <c r="B16" s="126" t="s">
        <v>473</v>
      </c>
      <c r="C16" s="242" t="s">
        <v>514</v>
      </c>
    </row>
    <row r="17" spans="1:3" x14ac:dyDescent="0.25">
      <c r="A17" s="242">
        <v>14</v>
      </c>
      <c r="B17" s="126" t="s">
        <v>474</v>
      </c>
      <c r="C17" s="242" t="s">
        <v>508</v>
      </c>
    </row>
    <row r="18" spans="1:3" x14ac:dyDescent="0.25">
      <c r="A18" s="242">
        <v>15</v>
      </c>
      <c r="B18" s="126" t="s">
        <v>475</v>
      </c>
      <c r="C18" s="242" t="s">
        <v>515</v>
      </c>
    </row>
    <row r="19" spans="1:3" x14ac:dyDescent="0.25">
      <c r="A19" s="242">
        <v>16</v>
      </c>
      <c r="B19" s="126" t="s">
        <v>476</v>
      </c>
      <c r="C19" s="242" t="s">
        <v>509</v>
      </c>
    </row>
    <row r="20" spans="1:3" x14ac:dyDescent="0.25">
      <c r="A20" s="242">
        <v>17</v>
      </c>
      <c r="B20" s="126" t="s">
        <v>477</v>
      </c>
      <c r="C20" s="242" t="s">
        <v>516</v>
      </c>
    </row>
    <row r="21" spans="1:3" x14ac:dyDescent="0.25">
      <c r="A21" s="242">
        <v>18</v>
      </c>
      <c r="B21" s="126" t="s">
        <v>478</v>
      </c>
      <c r="C21" s="242" t="s">
        <v>503</v>
      </c>
    </row>
    <row r="22" spans="1:3" x14ac:dyDescent="0.25">
      <c r="A22" s="242">
        <v>19</v>
      </c>
      <c r="B22" s="237" t="s">
        <v>451</v>
      </c>
      <c r="C22" s="248" t="s">
        <v>517</v>
      </c>
    </row>
    <row r="23" spans="1:3" ht="15.75" x14ac:dyDescent="0.25">
      <c r="A23" s="242">
        <v>20</v>
      </c>
      <c r="B23" s="235" t="s">
        <v>456</v>
      </c>
      <c r="C23" s="248" t="s">
        <v>518</v>
      </c>
    </row>
    <row r="24" spans="1:3" ht="15.75" x14ac:dyDescent="0.25">
      <c r="A24" s="242">
        <v>21</v>
      </c>
      <c r="B24" s="236" t="s">
        <v>501</v>
      </c>
      <c r="C24" s="248" t="s">
        <v>519</v>
      </c>
    </row>
    <row r="25" spans="1:3" ht="15.75" x14ac:dyDescent="0.25">
      <c r="A25" s="242">
        <v>22</v>
      </c>
      <c r="B25" s="236" t="s">
        <v>453</v>
      </c>
      <c r="C25" s="248" t="s">
        <v>520</v>
      </c>
    </row>
    <row r="26" spans="1:3" ht="15.75" x14ac:dyDescent="0.25">
      <c r="A26" s="242">
        <v>23</v>
      </c>
      <c r="B26" s="236" t="s">
        <v>454</v>
      </c>
      <c r="C26" s="248" t="s">
        <v>521</v>
      </c>
    </row>
  </sheetData>
  <mergeCells count="1">
    <mergeCell ref="B1:C1"/>
  </mergeCells>
  <phoneticPr fontId="4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EBE33-6D32-4DEB-ACAD-4E6EC106B96F}">
  <sheetPr codeName="Hoja19">
    <tabColor theme="5" tint="0.39997558519241921"/>
    <pageSetUpPr fitToPage="1"/>
  </sheetPr>
  <dimension ref="A1:W19"/>
  <sheetViews>
    <sheetView zoomScale="70" zoomScaleNormal="70" zoomScaleSheetLayoutView="110" workbookViewId="0">
      <pane ySplit="3" topLeftCell="A4" activePane="bottomLeft" state="frozen"/>
      <selection pane="bottomLeft" activeCell="L22" sqref="L22"/>
    </sheetView>
  </sheetViews>
  <sheetFormatPr baseColWidth="10" defaultRowHeight="15.75" x14ac:dyDescent="0.25"/>
  <cols>
    <col min="1" max="1" width="40.140625" style="122" customWidth="1"/>
    <col min="2" max="2" width="10.28515625" style="1" bestFit="1" customWidth="1"/>
    <col min="3" max="3" width="11" style="1" bestFit="1" customWidth="1"/>
    <col min="4" max="15" width="9.7109375" style="1" customWidth="1"/>
    <col min="16" max="18" width="9.7109375" style="1" hidden="1" customWidth="1"/>
    <col min="19" max="19" width="14.140625" style="1" customWidth="1"/>
    <col min="20" max="20" width="11.42578125" style="182"/>
    <col min="21" max="21" width="15.28515625" style="122" bestFit="1" customWidth="1"/>
    <col min="22" max="22" width="15.28515625" style="122" customWidth="1"/>
    <col min="23" max="23" width="19.28515625" style="122" bestFit="1" customWidth="1"/>
    <col min="24" max="16384" width="11.42578125" style="122"/>
  </cols>
  <sheetData>
    <row r="1" spans="1:23" ht="20.25" thickBot="1" x14ac:dyDescent="0.35">
      <c r="A1" s="120" t="s">
        <v>457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</row>
    <row r="2" spans="1:23" ht="20.25" thickTop="1" thickBot="1" x14ac:dyDescent="0.35">
      <c r="A2" s="106"/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U2" s="264" t="s">
        <v>395</v>
      </c>
      <c r="V2" s="265"/>
      <c r="W2" s="181"/>
    </row>
    <row r="3" spans="1:23" ht="48" thickBot="1" x14ac:dyDescent="0.3">
      <c r="A3" s="124" t="s">
        <v>6</v>
      </c>
      <c r="B3" s="125" t="s">
        <v>440</v>
      </c>
      <c r="C3" s="125" t="s">
        <v>441</v>
      </c>
      <c r="D3" s="125" t="s">
        <v>464</v>
      </c>
      <c r="E3" s="125" t="s">
        <v>465</v>
      </c>
      <c r="F3" s="125" t="s">
        <v>466</v>
      </c>
      <c r="G3" s="125" t="s">
        <v>467</v>
      </c>
      <c r="H3" s="125" t="s">
        <v>468</v>
      </c>
      <c r="I3" s="125" t="s">
        <v>469</v>
      </c>
      <c r="J3" s="125" t="s">
        <v>470</v>
      </c>
      <c r="K3" s="125" t="s">
        <v>471</v>
      </c>
      <c r="L3" s="125" t="s">
        <v>472</v>
      </c>
      <c r="M3" s="138" t="s">
        <v>473</v>
      </c>
      <c r="N3" s="234" t="s">
        <v>474</v>
      </c>
      <c r="O3" s="141" t="s">
        <v>475</v>
      </c>
      <c r="P3" s="125">
        <v>6</v>
      </c>
      <c r="Q3" s="125">
        <v>5.5</v>
      </c>
      <c r="R3" s="125">
        <v>5</v>
      </c>
      <c r="S3" s="127" t="s">
        <v>455</v>
      </c>
      <c r="T3" s="232" t="s">
        <v>456</v>
      </c>
      <c r="U3" s="230" t="s">
        <v>452</v>
      </c>
      <c r="V3" s="231" t="s">
        <v>443</v>
      </c>
      <c r="W3" s="163" t="s">
        <v>442</v>
      </c>
    </row>
    <row r="4" spans="1:23" x14ac:dyDescent="0.25">
      <c r="A4" s="129" t="s">
        <v>31</v>
      </c>
      <c r="B4" s="105">
        <v>9.84</v>
      </c>
      <c r="C4" s="105">
        <v>13.55</v>
      </c>
      <c r="D4" s="105">
        <v>7</v>
      </c>
      <c r="E4" s="105">
        <v>7</v>
      </c>
      <c r="F4" s="105">
        <v>7</v>
      </c>
      <c r="G4" s="105">
        <v>9</v>
      </c>
      <c r="H4" s="105">
        <v>9</v>
      </c>
      <c r="I4" s="186">
        <v>10</v>
      </c>
      <c r="J4" s="105">
        <v>10</v>
      </c>
      <c r="K4" s="105">
        <v>10</v>
      </c>
      <c r="L4" s="105">
        <v>10</v>
      </c>
      <c r="M4" s="139">
        <v>10</v>
      </c>
      <c r="N4" s="145">
        <v>10</v>
      </c>
      <c r="O4" s="142">
        <v>10</v>
      </c>
      <c r="P4" s="105">
        <v>10</v>
      </c>
      <c r="Q4" s="105">
        <v>10</v>
      </c>
      <c r="R4" s="105">
        <v>10</v>
      </c>
      <c r="S4" s="131">
        <v>10</v>
      </c>
      <c r="T4" s="183">
        <v>10</v>
      </c>
      <c r="U4" s="165">
        <v>9.5</v>
      </c>
      <c r="V4" s="166">
        <v>0</v>
      </c>
      <c r="W4" s="164"/>
    </row>
    <row r="5" spans="1:23" x14ac:dyDescent="0.25">
      <c r="A5" s="129" t="s">
        <v>11</v>
      </c>
      <c r="B5" s="105">
        <v>5.71</v>
      </c>
      <c r="C5" s="105">
        <v>16.75</v>
      </c>
      <c r="D5" s="105">
        <v>5</v>
      </c>
      <c r="E5" s="105">
        <v>6</v>
      </c>
      <c r="F5" s="105">
        <v>6</v>
      </c>
      <c r="G5" s="105">
        <v>6</v>
      </c>
      <c r="H5" s="105">
        <v>6</v>
      </c>
      <c r="I5" s="105">
        <v>7</v>
      </c>
      <c r="J5" s="105">
        <v>7</v>
      </c>
      <c r="K5" s="186">
        <v>8</v>
      </c>
      <c r="L5" s="105">
        <v>8</v>
      </c>
      <c r="M5" s="139">
        <v>8</v>
      </c>
      <c r="N5" s="146">
        <v>8</v>
      </c>
      <c r="O5" s="142">
        <v>8</v>
      </c>
      <c r="P5" s="105">
        <v>8</v>
      </c>
      <c r="Q5" s="105">
        <v>9</v>
      </c>
      <c r="R5" s="105">
        <v>9</v>
      </c>
      <c r="S5" s="131">
        <v>9</v>
      </c>
      <c r="T5" s="183">
        <v>8</v>
      </c>
      <c r="U5" s="165">
        <v>8.5</v>
      </c>
      <c r="V5" s="166">
        <v>0</v>
      </c>
      <c r="W5" s="164"/>
    </row>
    <row r="6" spans="1:23" x14ac:dyDescent="0.25">
      <c r="A6" s="129" t="s">
        <v>1</v>
      </c>
      <c r="B6" s="105">
        <v>10.43</v>
      </c>
      <c r="C6" s="105">
        <v>14.75</v>
      </c>
      <c r="D6" s="105">
        <v>2</v>
      </c>
      <c r="E6" s="105">
        <v>2</v>
      </c>
      <c r="F6" s="105">
        <v>2</v>
      </c>
      <c r="G6" s="105">
        <v>3</v>
      </c>
      <c r="H6" s="186">
        <v>4</v>
      </c>
      <c r="I6" s="105">
        <v>4</v>
      </c>
      <c r="J6" s="105">
        <v>4</v>
      </c>
      <c r="K6" s="105">
        <v>4</v>
      </c>
      <c r="L6" s="105">
        <v>4</v>
      </c>
      <c r="M6" s="139">
        <v>4</v>
      </c>
      <c r="N6" s="146">
        <v>4</v>
      </c>
      <c r="O6" s="142">
        <v>4</v>
      </c>
      <c r="P6" s="105">
        <v>4</v>
      </c>
      <c r="Q6" s="105">
        <v>4</v>
      </c>
      <c r="R6" s="105">
        <v>4</v>
      </c>
      <c r="S6" s="131">
        <v>4</v>
      </c>
      <c r="T6" s="183">
        <v>4</v>
      </c>
      <c r="U6" s="165">
        <v>10</v>
      </c>
      <c r="V6" s="166">
        <v>0</v>
      </c>
      <c r="W6" s="164"/>
    </row>
    <row r="7" spans="1:23" x14ac:dyDescent="0.25">
      <c r="A7" s="129" t="s">
        <v>20</v>
      </c>
      <c r="B7" s="105">
        <v>8.08</v>
      </c>
      <c r="C7" s="105">
        <v>14.91</v>
      </c>
      <c r="D7" s="105">
        <v>2</v>
      </c>
      <c r="E7" s="105">
        <v>2</v>
      </c>
      <c r="F7" s="105">
        <v>3</v>
      </c>
      <c r="G7" s="105">
        <v>3</v>
      </c>
      <c r="H7" s="105">
        <v>3</v>
      </c>
      <c r="I7" s="105">
        <v>3</v>
      </c>
      <c r="J7" s="105">
        <v>4</v>
      </c>
      <c r="K7" s="105">
        <v>4</v>
      </c>
      <c r="L7" s="186">
        <v>5</v>
      </c>
      <c r="M7" s="139">
        <v>5</v>
      </c>
      <c r="N7" s="146">
        <v>5</v>
      </c>
      <c r="O7" s="142">
        <v>5</v>
      </c>
      <c r="P7" s="105">
        <v>5</v>
      </c>
      <c r="Q7" s="105">
        <v>5</v>
      </c>
      <c r="R7" s="105">
        <v>5</v>
      </c>
      <c r="S7" s="131">
        <v>5</v>
      </c>
      <c r="T7" s="183">
        <v>5</v>
      </c>
      <c r="U7" s="165">
        <v>8</v>
      </c>
      <c r="V7" s="166">
        <v>0</v>
      </c>
      <c r="W7" s="164"/>
    </row>
    <row r="8" spans="1:23" x14ac:dyDescent="0.25">
      <c r="A8" s="129" t="s">
        <v>15</v>
      </c>
      <c r="B8" s="105">
        <v>10</v>
      </c>
      <c r="C8" s="105">
        <v>16.96</v>
      </c>
      <c r="D8" s="105">
        <v>17</v>
      </c>
      <c r="E8" s="105">
        <v>20</v>
      </c>
      <c r="F8" s="105">
        <v>21</v>
      </c>
      <c r="G8" s="105">
        <v>22</v>
      </c>
      <c r="H8" s="186">
        <v>22</v>
      </c>
      <c r="I8" s="105">
        <v>23</v>
      </c>
      <c r="J8" s="105">
        <v>23</v>
      </c>
      <c r="K8" s="105">
        <v>23</v>
      </c>
      <c r="L8" s="105">
        <v>23</v>
      </c>
      <c r="M8" s="139">
        <v>23</v>
      </c>
      <c r="N8" s="146">
        <v>23</v>
      </c>
      <c r="O8" s="142">
        <v>23</v>
      </c>
      <c r="P8" s="105">
        <v>23</v>
      </c>
      <c r="Q8" s="105">
        <v>23</v>
      </c>
      <c r="R8" s="105">
        <v>23</v>
      </c>
      <c r="S8" s="131">
        <v>23</v>
      </c>
      <c r="T8" s="183">
        <v>23</v>
      </c>
      <c r="U8" s="165">
        <v>10</v>
      </c>
      <c r="V8" s="166">
        <v>0</v>
      </c>
      <c r="W8" s="164"/>
    </row>
    <row r="9" spans="1:23" x14ac:dyDescent="0.25">
      <c r="A9" s="129" t="s">
        <v>16</v>
      </c>
      <c r="B9" s="105">
        <v>8.4</v>
      </c>
      <c r="C9" s="105">
        <v>13.84</v>
      </c>
      <c r="D9" s="105">
        <v>5</v>
      </c>
      <c r="E9" s="105">
        <v>5</v>
      </c>
      <c r="F9" s="105">
        <v>5</v>
      </c>
      <c r="G9" s="105">
        <v>5</v>
      </c>
      <c r="H9" s="105">
        <v>5</v>
      </c>
      <c r="I9" s="105">
        <v>6</v>
      </c>
      <c r="J9" s="105">
        <v>6</v>
      </c>
      <c r="K9" s="105">
        <v>6</v>
      </c>
      <c r="L9" s="186">
        <v>7</v>
      </c>
      <c r="M9" s="139">
        <v>7</v>
      </c>
      <c r="N9" s="146">
        <v>7</v>
      </c>
      <c r="O9" s="142">
        <v>7</v>
      </c>
      <c r="P9" s="105">
        <v>7</v>
      </c>
      <c r="Q9" s="105">
        <v>7</v>
      </c>
      <c r="R9" s="105">
        <v>7</v>
      </c>
      <c r="S9" s="131">
        <v>7</v>
      </c>
      <c r="T9" s="183">
        <v>7</v>
      </c>
      <c r="U9" s="165">
        <v>8</v>
      </c>
      <c r="V9" s="166">
        <v>0</v>
      </c>
      <c r="W9" s="164"/>
    </row>
    <row r="10" spans="1:23" x14ac:dyDescent="0.25">
      <c r="A10" s="129" t="s">
        <v>13</v>
      </c>
      <c r="B10" s="105">
        <v>7.04</v>
      </c>
      <c r="C10" s="105">
        <v>16.8</v>
      </c>
      <c r="D10" s="186">
        <v>14</v>
      </c>
      <c r="E10" s="105">
        <v>15</v>
      </c>
      <c r="F10" s="105">
        <v>15</v>
      </c>
      <c r="G10" s="105">
        <v>15</v>
      </c>
      <c r="H10" s="105">
        <v>15</v>
      </c>
      <c r="I10" s="105">
        <v>15</v>
      </c>
      <c r="J10" s="105">
        <v>15</v>
      </c>
      <c r="K10" s="105">
        <v>15</v>
      </c>
      <c r="L10" s="105">
        <v>15</v>
      </c>
      <c r="M10" s="139">
        <v>15</v>
      </c>
      <c r="N10" s="146">
        <v>16</v>
      </c>
      <c r="O10" s="142">
        <v>16</v>
      </c>
      <c r="P10" s="105">
        <v>16</v>
      </c>
      <c r="Q10" s="105">
        <v>16</v>
      </c>
      <c r="R10" s="105">
        <v>16</v>
      </c>
      <c r="S10" s="131">
        <v>16</v>
      </c>
      <c r="T10" s="183">
        <v>12</v>
      </c>
      <c r="U10" s="165">
        <v>12</v>
      </c>
      <c r="V10" s="166">
        <v>2</v>
      </c>
      <c r="W10" s="164"/>
    </row>
    <row r="11" spans="1:23" x14ac:dyDescent="0.25">
      <c r="A11" s="129" t="s">
        <v>18</v>
      </c>
      <c r="B11" s="105">
        <v>7.92</v>
      </c>
      <c r="C11" s="105">
        <v>14.11</v>
      </c>
      <c r="D11" s="105">
        <v>10</v>
      </c>
      <c r="E11" s="105">
        <v>11</v>
      </c>
      <c r="F11" s="105">
        <v>11</v>
      </c>
      <c r="G11" s="105">
        <v>12</v>
      </c>
      <c r="H11" s="105">
        <v>13</v>
      </c>
      <c r="I11" s="186">
        <v>16</v>
      </c>
      <c r="J11" s="105">
        <v>16</v>
      </c>
      <c r="K11" s="105">
        <v>16</v>
      </c>
      <c r="L11" s="105">
        <v>16</v>
      </c>
      <c r="M11" s="139">
        <v>17</v>
      </c>
      <c r="N11" s="146">
        <v>17</v>
      </c>
      <c r="O11" s="142">
        <v>17</v>
      </c>
      <c r="P11" s="105">
        <v>17</v>
      </c>
      <c r="Q11" s="105">
        <v>17</v>
      </c>
      <c r="R11" s="105">
        <v>17</v>
      </c>
      <c r="S11" s="131">
        <v>17</v>
      </c>
      <c r="T11" s="183">
        <v>16</v>
      </c>
      <c r="U11" s="165">
        <v>9.5</v>
      </c>
      <c r="V11" s="166">
        <v>0</v>
      </c>
      <c r="W11" s="164"/>
    </row>
    <row r="12" spans="1:23" x14ac:dyDescent="0.25">
      <c r="A12" s="129" t="s">
        <v>14</v>
      </c>
      <c r="B12" s="105">
        <v>6.23</v>
      </c>
      <c r="C12" s="105">
        <v>15.39</v>
      </c>
      <c r="D12" s="105">
        <v>2</v>
      </c>
      <c r="E12" s="105">
        <v>2</v>
      </c>
      <c r="F12" s="105">
        <v>3</v>
      </c>
      <c r="G12" s="105">
        <v>3</v>
      </c>
      <c r="H12" s="105">
        <v>3</v>
      </c>
      <c r="I12" s="105">
        <v>3</v>
      </c>
      <c r="J12" s="186">
        <v>4</v>
      </c>
      <c r="K12" s="105">
        <v>4</v>
      </c>
      <c r="L12" s="105">
        <v>4</v>
      </c>
      <c r="M12" s="139">
        <v>4</v>
      </c>
      <c r="N12" s="146">
        <v>4</v>
      </c>
      <c r="O12" s="142">
        <v>4</v>
      </c>
      <c r="P12" s="105">
        <v>5</v>
      </c>
      <c r="Q12" s="105">
        <v>5</v>
      </c>
      <c r="R12" s="105">
        <v>5</v>
      </c>
      <c r="S12" s="131">
        <v>5</v>
      </c>
      <c r="T12" s="183">
        <v>4</v>
      </c>
      <c r="U12" s="165">
        <v>9</v>
      </c>
      <c r="V12" s="166">
        <v>0</v>
      </c>
      <c r="W12" s="164"/>
    </row>
    <row r="13" spans="1:23" x14ac:dyDescent="0.25">
      <c r="A13" s="129" t="s">
        <v>19</v>
      </c>
      <c r="B13" s="105">
        <v>12.11</v>
      </c>
      <c r="C13" s="105">
        <v>16.07</v>
      </c>
      <c r="D13" s="186">
        <v>2</v>
      </c>
      <c r="E13" s="105">
        <v>2</v>
      </c>
      <c r="F13" s="105">
        <v>2</v>
      </c>
      <c r="G13" s="105">
        <v>2</v>
      </c>
      <c r="H13" s="105">
        <v>2</v>
      </c>
      <c r="I13" s="105">
        <v>2</v>
      </c>
      <c r="J13" s="105">
        <v>2</v>
      </c>
      <c r="K13" s="105">
        <v>2</v>
      </c>
      <c r="L13" s="105">
        <v>2</v>
      </c>
      <c r="M13" s="139">
        <v>2</v>
      </c>
      <c r="N13" s="146">
        <v>2</v>
      </c>
      <c r="O13" s="142">
        <v>2</v>
      </c>
      <c r="P13" s="105">
        <v>2</v>
      </c>
      <c r="Q13" s="105">
        <v>2</v>
      </c>
      <c r="R13" s="105">
        <v>2</v>
      </c>
      <c r="S13" s="131">
        <v>2</v>
      </c>
      <c r="T13" s="183">
        <v>2</v>
      </c>
      <c r="U13" s="165">
        <v>12</v>
      </c>
      <c r="V13" s="166">
        <v>0</v>
      </c>
      <c r="W13" s="164"/>
    </row>
    <row r="14" spans="1:23" ht="16.5" thickBot="1" x14ac:dyDescent="0.3">
      <c r="A14" s="129" t="s">
        <v>17</v>
      </c>
      <c r="B14" s="105">
        <v>6.77</v>
      </c>
      <c r="C14" s="105">
        <v>16.43</v>
      </c>
      <c r="D14" s="105">
        <v>3</v>
      </c>
      <c r="E14" s="105">
        <v>3</v>
      </c>
      <c r="F14" s="105">
        <v>3</v>
      </c>
      <c r="G14" s="105">
        <v>3</v>
      </c>
      <c r="H14" s="105">
        <v>3</v>
      </c>
      <c r="I14" s="105">
        <v>3</v>
      </c>
      <c r="J14" s="105">
        <v>3</v>
      </c>
      <c r="K14" s="105">
        <v>3</v>
      </c>
      <c r="L14" s="186">
        <v>4</v>
      </c>
      <c r="M14" s="139">
        <v>4</v>
      </c>
      <c r="N14" s="144">
        <v>4</v>
      </c>
      <c r="O14" s="142">
        <v>5</v>
      </c>
      <c r="P14" s="105">
        <v>5</v>
      </c>
      <c r="Q14" s="105">
        <v>5</v>
      </c>
      <c r="R14" s="105">
        <v>5</v>
      </c>
      <c r="S14" s="131">
        <v>5</v>
      </c>
      <c r="T14" s="183">
        <v>4</v>
      </c>
      <c r="U14" s="165">
        <v>8</v>
      </c>
      <c r="V14" s="167">
        <v>0</v>
      </c>
      <c r="W14" s="164"/>
    </row>
    <row r="15" spans="1:23" ht="6" customHeight="1" thickBot="1" x14ac:dyDescent="0.3">
      <c r="N15" s="233"/>
    </row>
    <row r="16" spans="1:23" ht="16.5" thickBot="1" x14ac:dyDescent="0.3">
      <c r="A16" s="125" t="s">
        <v>32</v>
      </c>
      <c r="B16" s="107"/>
      <c r="C16" s="107"/>
      <c r="D16" s="107">
        <v>69</v>
      </c>
      <c r="E16" s="107">
        <v>75</v>
      </c>
      <c r="F16" s="107">
        <v>78</v>
      </c>
      <c r="G16" s="107">
        <v>83</v>
      </c>
      <c r="H16" s="107">
        <v>85</v>
      </c>
      <c r="I16" s="107">
        <v>92</v>
      </c>
      <c r="J16" s="107">
        <v>94</v>
      </c>
      <c r="K16" s="107">
        <v>95</v>
      </c>
      <c r="L16" s="107">
        <v>98</v>
      </c>
      <c r="M16" s="140">
        <v>99</v>
      </c>
      <c r="N16" s="147">
        <v>100</v>
      </c>
      <c r="O16" s="143">
        <v>101</v>
      </c>
      <c r="P16" s="107">
        <v>102</v>
      </c>
      <c r="Q16" s="107">
        <v>103</v>
      </c>
      <c r="R16" s="107">
        <v>103</v>
      </c>
      <c r="S16" s="184">
        <v>103</v>
      </c>
      <c r="T16" s="185">
        <f>SUM(T4:T14)</f>
        <v>95</v>
      </c>
      <c r="V16" s="185">
        <f>SUM(V4:V14)</f>
        <v>2</v>
      </c>
      <c r="W16" s="185"/>
    </row>
    <row r="18" spans="1:19" x14ac:dyDescent="0.25">
      <c r="A18" s="135"/>
    </row>
    <row r="19" spans="1:19" x14ac:dyDescent="0.25">
      <c r="A19" s="135"/>
      <c r="S19" s="12"/>
    </row>
  </sheetData>
  <sheetProtection sort="0" autoFilter="0"/>
  <autoFilter ref="A3:S14" xr:uid="{00000000-0009-0000-0000-000003000000}"/>
  <mergeCells count="1">
    <mergeCell ref="U2:V2"/>
  </mergeCells>
  <conditionalFormatting sqref="S16 A4:S14">
    <cfRule type="expression" dxfId="31" priority="2">
      <formula>#REF!="INACTIVO"</formula>
    </cfRule>
  </conditionalFormatting>
  <pageMargins left="0.34" right="0.28000000000000003" top="0.75" bottom="0.75" header="0.3" footer="0.3"/>
  <pageSetup paperSize="9" scale="6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B1448-3C96-4304-9A4B-59820C1444EC}">
  <sheetPr codeName="Hoja18">
    <tabColor rgb="FFC00000"/>
    <pageSetUpPr fitToPage="1"/>
  </sheetPr>
  <dimension ref="A1:AE27"/>
  <sheetViews>
    <sheetView topLeftCell="G1" zoomScale="60" zoomScaleNormal="60" workbookViewId="0">
      <selection activeCell="U45" sqref="U45"/>
    </sheetView>
  </sheetViews>
  <sheetFormatPr baseColWidth="10" defaultRowHeight="15" x14ac:dyDescent="0.25"/>
  <cols>
    <col min="1" max="1" width="5.42578125" style="1" customWidth="1"/>
    <col min="2" max="2" width="14.140625" style="101" bestFit="1" customWidth="1"/>
    <col min="3" max="3" width="29" style="1" bestFit="1" customWidth="1"/>
    <col min="4" max="4" width="15.5703125" style="1" customWidth="1"/>
    <col min="5" max="5" width="11.28515625" style="1" customWidth="1"/>
    <col min="6" max="6" width="40.28515625" style="1" customWidth="1"/>
    <col min="7" max="7" width="18.7109375" style="1" bestFit="1" customWidth="1"/>
    <col min="8" max="8" width="10" style="1" customWidth="1"/>
    <col min="9" max="9" width="41.140625" style="1" bestFit="1" customWidth="1"/>
    <col min="10" max="10" width="13.28515625" style="1" customWidth="1"/>
    <col min="11" max="11" width="8.140625" style="1" customWidth="1"/>
    <col min="12" max="12" width="6.5703125" style="1" customWidth="1"/>
    <col min="13" max="13" width="0.7109375" style="1" customWidth="1"/>
    <col min="14" max="14" width="11.140625" style="1" customWidth="1"/>
    <col min="15" max="15" width="7.42578125" style="1" customWidth="1"/>
    <col min="16" max="16" width="9.28515625" style="1" customWidth="1"/>
    <col min="17" max="17" width="14.42578125" style="1" customWidth="1"/>
    <col min="18" max="18" width="15.140625" style="1" customWidth="1"/>
    <col min="19" max="19" width="18.7109375" style="1" customWidth="1"/>
    <col min="20" max="20" width="5.140625" style="3" customWidth="1"/>
    <col min="21" max="21" width="19.85546875" style="1" customWidth="1"/>
    <col min="22" max="22" width="21.5703125" style="1" customWidth="1"/>
    <col min="23" max="23" width="8.7109375" style="12" customWidth="1"/>
    <col min="24" max="24" width="8.42578125" style="12" customWidth="1"/>
    <col min="25" max="25" width="1.140625" style="15" customWidth="1"/>
    <col min="26" max="26" width="15.42578125" style="12" customWidth="1"/>
    <col min="27" max="27" width="48.7109375" style="12" bestFit="1" customWidth="1"/>
    <col min="28" max="29" width="15.42578125" style="12" customWidth="1"/>
    <col min="30" max="30" width="5.140625" style="1" customWidth="1"/>
    <col min="31" max="31" width="11.42578125" style="1" customWidth="1"/>
    <col min="32" max="32" width="11.85546875" style="1" bestFit="1" customWidth="1"/>
    <col min="33" max="16384" width="11.42578125" style="1"/>
  </cols>
  <sheetData>
    <row r="1" spans="1:31" ht="15.75" thickBot="1" x14ac:dyDescent="0.3">
      <c r="B1" s="3"/>
      <c r="F1" s="3"/>
      <c r="H1" s="3"/>
      <c r="J1" s="3"/>
      <c r="L1" s="3"/>
      <c r="N1" s="3"/>
      <c r="P1" s="3"/>
      <c r="S1" s="3"/>
      <c r="V1" s="3"/>
      <c r="W1" s="1"/>
      <c r="X1" s="3"/>
      <c r="Y1" s="1"/>
      <c r="Z1" s="1"/>
      <c r="AA1" s="1"/>
      <c r="AB1" s="1"/>
      <c r="AC1" s="3"/>
    </row>
    <row r="2" spans="1:31" ht="33.75" x14ac:dyDescent="0.25">
      <c r="A2" s="4" t="s">
        <v>51</v>
      </c>
      <c r="B2" s="5"/>
      <c r="C2" s="6"/>
      <c r="D2" s="6"/>
      <c r="E2" s="6"/>
      <c r="F2" s="6"/>
      <c r="G2" s="6"/>
      <c r="H2" s="6"/>
      <c r="I2" s="7" t="s">
        <v>295</v>
      </c>
      <c r="J2" s="266" t="s">
        <v>296</v>
      </c>
      <c r="K2" s="267"/>
      <c r="L2" s="268"/>
      <c r="M2" s="10"/>
      <c r="N2" s="275" t="s">
        <v>297</v>
      </c>
      <c r="O2" s="276"/>
      <c r="P2" s="277"/>
      <c r="Q2" s="10"/>
      <c r="R2" s="10"/>
      <c r="S2" s="10"/>
      <c r="T2" s="13"/>
      <c r="U2" s="283" t="s">
        <v>30</v>
      </c>
      <c r="V2" s="2" t="s">
        <v>23</v>
      </c>
      <c r="W2" s="24">
        <v>95</v>
      </c>
      <c r="X2" s="27"/>
      <c r="AD2" s="16"/>
    </row>
    <row r="3" spans="1:31" ht="18.75" thickBot="1" x14ac:dyDescent="0.3">
      <c r="A3" s="17"/>
      <c r="B3" s="18" t="s">
        <v>295</v>
      </c>
      <c r="C3" s="19"/>
      <c r="D3" s="19"/>
      <c r="E3" s="19"/>
      <c r="F3" s="19"/>
      <c r="G3" s="19"/>
      <c r="H3" s="19"/>
      <c r="I3" s="20"/>
      <c r="J3" s="269"/>
      <c r="K3" s="270"/>
      <c r="L3" s="271"/>
      <c r="M3" s="10"/>
      <c r="N3" s="278"/>
      <c r="O3" s="279"/>
      <c r="P3" s="280"/>
      <c r="Q3" s="10"/>
      <c r="R3" s="10"/>
      <c r="S3" s="10"/>
      <c r="T3" s="13"/>
      <c r="U3" s="284"/>
      <c r="V3" s="2" t="s">
        <v>55</v>
      </c>
      <c r="W3" s="24">
        <v>8</v>
      </c>
      <c r="X3" s="24">
        <v>103</v>
      </c>
      <c r="Y3" s="25"/>
      <c r="Z3" s="26"/>
      <c r="AA3" s="26"/>
      <c r="AB3" s="26"/>
      <c r="AC3" s="26"/>
      <c r="AD3" s="16"/>
    </row>
    <row r="4" spans="1:31" ht="18.75" thickBot="1" x14ac:dyDescent="0.3">
      <c r="A4" s="17"/>
      <c r="B4" s="18" t="s">
        <v>98</v>
      </c>
      <c r="C4" s="19"/>
      <c r="D4" s="19"/>
      <c r="E4" s="19"/>
      <c r="F4" s="19"/>
      <c r="G4" s="19"/>
      <c r="H4" s="19"/>
      <c r="I4" s="20"/>
      <c r="J4" s="269"/>
      <c r="K4" s="270"/>
      <c r="L4" s="271"/>
      <c r="M4" s="10"/>
      <c r="N4" s="278"/>
      <c r="O4" s="279"/>
      <c r="P4" s="280"/>
      <c r="Q4" s="10"/>
      <c r="R4" s="10"/>
      <c r="S4" s="10"/>
      <c r="T4" s="13"/>
      <c r="W4" s="1"/>
      <c r="X4" s="1"/>
      <c r="AD4" s="16"/>
    </row>
    <row r="5" spans="1:31" ht="18.75" thickBot="1" x14ac:dyDescent="0.3">
      <c r="A5" s="17"/>
      <c r="B5" s="18"/>
      <c r="C5" s="19"/>
      <c r="D5" s="19"/>
      <c r="E5" s="19"/>
      <c r="F5" s="19"/>
      <c r="G5" s="19"/>
      <c r="H5" s="19"/>
      <c r="I5" s="20"/>
      <c r="J5" s="272"/>
      <c r="K5" s="273"/>
      <c r="L5" s="274"/>
      <c r="M5" s="10"/>
      <c r="N5" s="281"/>
      <c r="O5" s="282"/>
      <c r="P5" s="282"/>
      <c r="Q5" s="285" t="s">
        <v>33</v>
      </c>
      <c r="R5" s="286"/>
      <c r="S5" s="287"/>
      <c r="T5" s="31"/>
      <c r="W5" s="1"/>
      <c r="X5" s="1"/>
      <c r="Y5" s="25"/>
      <c r="Z5" s="26"/>
      <c r="AA5" s="26"/>
      <c r="AB5" s="26"/>
      <c r="AC5" s="26"/>
      <c r="AD5" s="16"/>
    </row>
    <row r="6" spans="1:31" ht="18.75" thickBot="1" x14ac:dyDescent="0.3">
      <c r="A6" s="32"/>
      <c r="B6" s="33"/>
      <c r="C6" s="34"/>
      <c r="D6" s="34"/>
      <c r="E6" s="34"/>
      <c r="F6" s="34"/>
      <c r="G6" s="19"/>
      <c r="H6" s="19"/>
      <c r="I6" s="35"/>
      <c r="J6" s="36">
        <v>15</v>
      </c>
      <c r="K6" s="37" t="s">
        <v>46</v>
      </c>
      <c r="L6" s="38">
        <v>3.2</v>
      </c>
      <c r="M6" s="10"/>
      <c r="N6" s="36">
        <v>15</v>
      </c>
      <c r="O6" s="37" t="s">
        <v>46</v>
      </c>
      <c r="P6" s="39">
        <v>5.33</v>
      </c>
      <c r="Q6" s="40">
        <v>5.71</v>
      </c>
      <c r="R6" s="40">
        <v>28.549999999999997</v>
      </c>
      <c r="S6" s="40"/>
      <c r="T6" s="41"/>
      <c r="W6" s="1"/>
      <c r="X6" s="1"/>
      <c r="Y6" s="42"/>
      <c r="Z6" s="43"/>
      <c r="AA6" s="104" t="s">
        <v>59</v>
      </c>
      <c r="AB6" s="43"/>
      <c r="AC6" s="43"/>
      <c r="AD6" s="10"/>
      <c r="AE6" s="44"/>
    </row>
    <row r="7" spans="1:31" ht="18.75" thickBot="1" x14ac:dyDescent="0.3">
      <c r="A7" s="32"/>
      <c r="B7" s="33"/>
      <c r="C7" s="34"/>
      <c r="D7" s="34"/>
      <c r="E7" s="34"/>
      <c r="F7" s="34"/>
      <c r="G7" s="34"/>
      <c r="H7" s="34"/>
      <c r="I7" s="35"/>
      <c r="J7" s="36">
        <v>0</v>
      </c>
      <c r="K7" s="37" t="s">
        <v>47</v>
      </c>
      <c r="L7" s="38">
        <v>17.07</v>
      </c>
      <c r="M7" s="10"/>
      <c r="N7" s="36">
        <v>0</v>
      </c>
      <c r="O7" s="46" t="s">
        <v>47</v>
      </c>
      <c r="P7" s="39">
        <v>20</v>
      </c>
      <c r="Q7" s="47">
        <v>16.96</v>
      </c>
      <c r="R7" s="47">
        <v>84.800000000000011</v>
      </c>
      <c r="S7" s="207" t="s">
        <v>423</v>
      </c>
      <c r="T7" s="41"/>
      <c r="V7" s="207" t="s">
        <v>422</v>
      </c>
      <c r="W7" s="48"/>
      <c r="X7" s="49"/>
      <c r="Y7" s="50"/>
      <c r="Z7" s="51"/>
      <c r="AA7" s="51"/>
      <c r="AB7" s="51"/>
      <c r="AC7" s="51"/>
      <c r="AD7" s="10"/>
      <c r="AE7" s="44"/>
    </row>
    <row r="8" spans="1:31" ht="15.75" thickBot="1" x14ac:dyDescent="0.3">
      <c r="A8" s="52" t="s">
        <v>2</v>
      </c>
      <c r="B8" s="53" t="s">
        <v>21</v>
      </c>
      <c r="C8" s="54" t="s">
        <v>25</v>
      </c>
      <c r="D8" s="54" t="s">
        <v>4</v>
      </c>
      <c r="E8" s="54" t="s">
        <v>3</v>
      </c>
      <c r="F8" s="55" t="s">
        <v>5</v>
      </c>
      <c r="G8" s="55" t="s">
        <v>54</v>
      </c>
      <c r="H8" s="56" t="s">
        <v>22</v>
      </c>
      <c r="I8" s="57" t="s">
        <v>6</v>
      </c>
      <c r="J8" s="149" t="s">
        <v>7</v>
      </c>
      <c r="K8" s="62" t="s">
        <v>45</v>
      </c>
      <c r="L8" s="63" t="s">
        <v>8</v>
      </c>
      <c r="M8" s="60"/>
      <c r="N8" s="148" t="s">
        <v>7</v>
      </c>
      <c r="O8" s="62" t="s">
        <v>45</v>
      </c>
      <c r="P8" s="67" t="s">
        <v>9</v>
      </c>
      <c r="Q8" s="68" t="s">
        <v>48</v>
      </c>
      <c r="R8" s="69" t="s">
        <v>33</v>
      </c>
      <c r="S8" s="69" t="s">
        <v>49</v>
      </c>
      <c r="T8" s="70" t="s">
        <v>56</v>
      </c>
      <c r="U8" s="71" t="s">
        <v>6</v>
      </c>
      <c r="V8" s="72" t="s">
        <v>50</v>
      </c>
      <c r="W8" s="72" t="s">
        <v>35</v>
      </c>
      <c r="X8" s="72"/>
      <c r="Y8" s="73"/>
      <c r="Z8" s="74" t="s">
        <v>37</v>
      </c>
      <c r="AA8" s="74" t="s">
        <v>38</v>
      </c>
      <c r="AB8" s="74" t="s">
        <v>41</v>
      </c>
      <c r="AC8" s="74" t="s">
        <v>42</v>
      </c>
      <c r="AD8" s="75"/>
    </row>
    <row r="9" spans="1:31" ht="15" customHeight="1" x14ac:dyDescent="0.25">
      <c r="A9" s="76">
        <v>8</v>
      </c>
      <c r="B9" s="77">
        <v>47080538</v>
      </c>
      <c r="C9" s="78" t="s">
        <v>76</v>
      </c>
      <c r="D9" s="79" t="s">
        <v>236</v>
      </c>
      <c r="E9" s="79">
        <v>47080538</v>
      </c>
      <c r="F9" s="80" t="s">
        <v>308</v>
      </c>
      <c r="G9" s="81" t="s">
        <v>29</v>
      </c>
      <c r="H9" s="82" t="s">
        <v>12</v>
      </c>
      <c r="I9" s="83" t="s">
        <v>13</v>
      </c>
      <c r="J9" s="87"/>
      <c r="K9" s="88"/>
      <c r="L9" s="89">
        <v>14.4</v>
      </c>
      <c r="M9" s="10"/>
      <c r="N9" s="87"/>
      <c r="O9" s="88"/>
      <c r="P9" s="90">
        <v>18.670000000000002</v>
      </c>
      <c r="Q9" s="91">
        <f>ROUND((L9*0.7)+(P9*0.3),2)</f>
        <v>15.68</v>
      </c>
      <c r="R9" s="92">
        <v>78.400000000000006</v>
      </c>
      <c r="S9" s="93" t="s">
        <v>23</v>
      </c>
      <c r="T9" s="94">
        <v>1</v>
      </c>
      <c r="U9" s="95" t="s">
        <v>13</v>
      </c>
      <c r="V9" s="96" t="s">
        <v>23</v>
      </c>
      <c r="W9" s="97" t="s">
        <v>27</v>
      </c>
      <c r="X9" s="97"/>
      <c r="Y9" s="98"/>
      <c r="Z9" s="99">
        <v>0.91199999999999992</v>
      </c>
      <c r="AA9" s="100" t="s">
        <v>53</v>
      </c>
      <c r="AB9" s="99">
        <v>0.72</v>
      </c>
      <c r="AC9" s="99">
        <v>0.72</v>
      </c>
      <c r="AD9" s="44"/>
    </row>
    <row r="10" spans="1:31" ht="15" customHeight="1" x14ac:dyDescent="0.25">
      <c r="A10" s="76">
        <v>14</v>
      </c>
      <c r="B10" s="77">
        <v>60775617</v>
      </c>
      <c r="C10" s="78" t="s">
        <v>76</v>
      </c>
      <c r="D10" s="79" t="s">
        <v>262</v>
      </c>
      <c r="E10" s="79">
        <v>60775617</v>
      </c>
      <c r="F10" s="80" t="s">
        <v>313</v>
      </c>
      <c r="G10" s="81" t="s">
        <v>29</v>
      </c>
      <c r="H10" s="82" t="s">
        <v>12</v>
      </c>
      <c r="I10" s="83" t="s">
        <v>20</v>
      </c>
      <c r="J10" s="87"/>
      <c r="K10" s="88"/>
      <c r="L10" s="89">
        <v>13.87</v>
      </c>
      <c r="M10" s="10"/>
      <c r="N10" s="87"/>
      <c r="O10" s="88"/>
      <c r="P10" s="90">
        <v>17.329999999999998</v>
      </c>
      <c r="Q10" s="91">
        <f t="shared" ref="Q10:Q27" si="0">ROUND((L10*0.7)+(P10*0.3),2)</f>
        <v>14.91</v>
      </c>
      <c r="R10" s="92">
        <v>74.550000000000011</v>
      </c>
      <c r="S10" s="93" t="s">
        <v>23</v>
      </c>
      <c r="T10" s="94">
        <v>1</v>
      </c>
      <c r="U10" s="95" t="s">
        <v>20</v>
      </c>
      <c r="V10" s="96" t="s">
        <v>23</v>
      </c>
      <c r="W10" s="97" t="s">
        <v>27</v>
      </c>
      <c r="X10" s="97"/>
      <c r="Y10" s="98"/>
      <c r="Z10" s="99">
        <v>0.63200000000000001</v>
      </c>
      <c r="AA10" s="100" t="s">
        <v>53</v>
      </c>
      <c r="AB10" s="99">
        <v>0.84666666666666668</v>
      </c>
      <c r="AC10" s="99">
        <v>0.72</v>
      </c>
      <c r="AD10" s="44"/>
    </row>
    <row r="11" spans="1:31" ht="15" customHeight="1" x14ac:dyDescent="0.25">
      <c r="A11" s="76">
        <v>18</v>
      </c>
      <c r="B11" s="77">
        <v>71131379</v>
      </c>
      <c r="C11" s="78" t="s">
        <v>76</v>
      </c>
      <c r="D11" s="79" t="s">
        <v>194</v>
      </c>
      <c r="E11" s="79">
        <v>71131379</v>
      </c>
      <c r="F11" s="80" t="s">
        <v>316</v>
      </c>
      <c r="G11" s="81" t="s">
        <v>29</v>
      </c>
      <c r="H11" s="82" t="s">
        <v>12</v>
      </c>
      <c r="I11" s="83" t="s">
        <v>13</v>
      </c>
      <c r="J11" s="87"/>
      <c r="K11" s="88"/>
      <c r="L11" s="89">
        <v>12.8</v>
      </c>
      <c r="M11" s="10"/>
      <c r="N11" s="87"/>
      <c r="O11" s="88"/>
      <c r="P11" s="90">
        <v>18.670000000000002</v>
      </c>
      <c r="Q11" s="91">
        <f t="shared" si="0"/>
        <v>14.56</v>
      </c>
      <c r="R11" s="92">
        <v>72.8</v>
      </c>
      <c r="S11" s="93" t="s">
        <v>23</v>
      </c>
      <c r="T11" s="94">
        <v>1</v>
      </c>
      <c r="U11" s="95" t="s">
        <v>13</v>
      </c>
      <c r="V11" s="96" t="s">
        <v>23</v>
      </c>
      <c r="W11" s="97" t="s">
        <v>26</v>
      </c>
      <c r="X11" s="97"/>
      <c r="Y11" s="98"/>
      <c r="Z11" s="99">
        <v>0.57599999999999996</v>
      </c>
      <c r="AA11" s="100" t="s">
        <v>99</v>
      </c>
      <c r="AB11" s="99">
        <v>0.76666666666666661</v>
      </c>
      <c r="AC11" s="99">
        <v>0.85999999999999988</v>
      </c>
      <c r="AD11" s="44"/>
    </row>
    <row r="12" spans="1:31" ht="15" customHeight="1" x14ac:dyDescent="0.25">
      <c r="A12" s="76">
        <v>21</v>
      </c>
      <c r="B12" s="77">
        <v>71076623</v>
      </c>
      <c r="C12" s="78" t="s">
        <v>75</v>
      </c>
      <c r="D12" s="79" t="s">
        <v>126</v>
      </c>
      <c r="E12" s="79">
        <v>71076623</v>
      </c>
      <c r="F12" s="80" t="s">
        <v>81</v>
      </c>
      <c r="G12" s="81" t="s">
        <v>29</v>
      </c>
      <c r="H12" s="82" t="s">
        <v>12</v>
      </c>
      <c r="I12" s="83" t="s">
        <v>15</v>
      </c>
      <c r="J12" s="87"/>
      <c r="K12" s="88"/>
      <c r="L12" s="89">
        <v>12.27</v>
      </c>
      <c r="M12" s="10"/>
      <c r="N12" s="87"/>
      <c r="O12" s="88"/>
      <c r="P12" s="90">
        <v>18.670000000000002</v>
      </c>
      <c r="Q12" s="91">
        <f t="shared" si="0"/>
        <v>14.19</v>
      </c>
      <c r="R12" s="92">
        <v>70.95</v>
      </c>
      <c r="S12" s="93" t="s">
        <v>23</v>
      </c>
      <c r="T12" s="94">
        <v>1</v>
      </c>
      <c r="U12" s="95" t="s">
        <v>15</v>
      </c>
      <c r="V12" s="96" t="s">
        <v>23</v>
      </c>
      <c r="W12" s="97" t="s">
        <v>26</v>
      </c>
      <c r="X12" s="97"/>
      <c r="Y12" s="98"/>
      <c r="Z12" s="99">
        <v>0.57599999999999996</v>
      </c>
      <c r="AA12" s="100" t="s">
        <v>99</v>
      </c>
      <c r="AB12" s="99">
        <v>0.76666666666666661</v>
      </c>
      <c r="AC12" s="99">
        <v>0.78999999999999992</v>
      </c>
      <c r="AD12" s="44"/>
    </row>
    <row r="13" spans="1:31" ht="15" customHeight="1" x14ac:dyDescent="0.25">
      <c r="A13" s="76">
        <v>29</v>
      </c>
      <c r="B13" s="77">
        <v>71436029</v>
      </c>
      <c r="C13" s="78" t="s">
        <v>75</v>
      </c>
      <c r="D13" s="79" t="s">
        <v>100</v>
      </c>
      <c r="E13" s="79">
        <v>71436029</v>
      </c>
      <c r="F13" s="80" t="s">
        <v>328</v>
      </c>
      <c r="G13" s="81" t="s">
        <v>29</v>
      </c>
      <c r="H13" s="82" t="s">
        <v>0</v>
      </c>
      <c r="I13" s="83" t="s">
        <v>18</v>
      </c>
      <c r="J13" s="87"/>
      <c r="K13" s="88"/>
      <c r="L13" s="89">
        <v>13.87</v>
      </c>
      <c r="M13" s="10"/>
      <c r="N13" s="87"/>
      <c r="O13" s="88"/>
      <c r="P13" s="90">
        <v>13.33</v>
      </c>
      <c r="Q13" s="91">
        <f t="shared" si="0"/>
        <v>13.71</v>
      </c>
      <c r="R13" s="92">
        <v>68.55</v>
      </c>
      <c r="S13" s="93" t="s">
        <v>23</v>
      </c>
      <c r="T13" s="94">
        <v>1</v>
      </c>
      <c r="U13" s="95" t="s">
        <v>18</v>
      </c>
      <c r="V13" s="96" t="s">
        <v>23</v>
      </c>
      <c r="W13" s="97" t="s">
        <v>27</v>
      </c>
      <c r="X13" s="97"/>
      <c r="Y13" s="98"/>
      <c r="Z13" s="99">
        <v>0.62799999999999989</v>
      </c>
      <c r="AA13" s="100" t="s">
        <v>53</v>
      </c>
      <c r="AB13" s="99">
        <v>0.79999999999999993</v>
      </c>
      <c r="AC13" s="99">
        <v>0.79999999999999993</v>
      </c>
      <c r="AD13" s="44"/>
    </row>
    <row r="14" spans="1:31" ht="15" customHeight="1" x14ac:dyDescent="0.25">
      <c r="A14" s="76">
        <v>32</v>
      </c>
      <c r="B14" s="77">
        <v>71029337</v>
      </c>
      <c r="C14" s="78" t="s">
        <v>76</v>
      </c>
      <c r="D14" s="79" t="s">
        <v>228</v>
      </c>
      <c r="E14" s="79">
        <v>71029337</v>
      </c>
      <c r="F14" s="80" t="s">
        <v>330</v>
      </c>
      <c r="G14" s="81" t="s">
        <v>29</v>
      </c>
      <c r="H14" s="82" t="s">
        <v>12</v>
      </c>
      <c r="I14" s="83" t="s">
        <v>31</v>
      </c>
      <c r="J14" s="87"/>
      <c r="K14" s="88"/>
      <c r="L14" s="89">
        <v>13.07</v>
      </c>
      <c r="M14" s="10"/>
      <c r="N14" s="87"/>
      <c r="O14" s="88"/>
      <c r="P14" s="90">
        <v>14.67</v>
      </c>
      <c r="Q14" s="91">
        <f t="shared" si="0"/>
        <v>13.55</v>
      </c>
      <c r="R14" s="92">
        <v>67.75</v>
      </c>
      <c r="S14" s="93" t="s">
        <v>23</v>
      </c>
      <c r="T14" s="94">
        <v>1</v>
      </c>
      <c r="U14" s="95" t="s">
        <v>31</v>
      </c>
      <c r="V14" s="96" t="s">
        <v>23</v>
      </c>
      <c r="W14" s="97" t="s">
        <v>26</v>
      </c>
      <c r="X14" s="97"/>
      <c r="Y14" s="98"/>
      <c r="Z14" s="99">
        <v>0.65999999999999992</v>
      </c>
      <c r="AA14" s="100" t="s">
        <v>318</v>
      </c>
      <c r="AB14" s="99">
        <v>0.79999999999999993</v>
      </c>
      <c r="AC14" s="99">
        <v>0.53</v>
      </c>
      <c r="AD14" s="44"/>
    </row>
    <row r="15" spans="1:31" ht="15" customHeight="1" x14ac:dyDescent="0.25">
      <c r="A15" s="76">
        <v>36</v>
      </c>
      <c r="B15" s="77">
        <v>61006937</v>
      </c>
      <c r="C15" s="78" t="s">
        <v>76</v>
      </c>
      <c r="D15" s="79" t="s">
        <v>212</v>
      </c>
      <c r="E15" s="79">
        <v>61006937</v>
      </c>
      <c r="F15" s="80" t="s">
        <v>90</v>
      </c>
      <c r="G15" s="81" t="s">
        <v>29</v>
      </c>
      <c r="H15" s="82" t="s">
        <v>0</v>
      </c>
      <c r="I15" s="83" t="s">
        <v>18</v>
      </c>
      <c r="J15" s="87"/>
      <c r="K15" s="88"/>
      <c r="L15" s="89">
        <v>13.33</v>
      </c>
      <c r="M15" s="10"/>
      <c r="N15" s="87"/>
      <c r="O15" s="88"/>
      <c r="P15" s="90">
        <v>13.33</v>
      </c>
      <c r="Q15" s="91">
        <f t="shared" si="0"/>
        <v>13.33</v>
      </c>
      <c r="R15" s="92">
        <v>66.649999999999991</v>
      </c>
      <c r="S15" s="93" t="s">
        <v>23</v>
      </c>
      <c r="T15" s="94">
        <v>1</v>
      </c>
      <c r="U15" s="95" t="s">
        <v>18</v>
      </c>
      <c r="V15" s="96" t="s">
        <v>23</v>
      </c>
      <c r="W15" s="97" t="s">
        <v>26</v>
      </c>
      <c r="X15" s="97"/>
      <c r="Y15" s="98"/>
      <c r="Z15" s="99">
        <v>0.68399999999999994</v>
      </c>
      <c r="AA15" s="100" t="s">
        <v>318</v>
      </c>
      <c r="AB15" s="99">
        <v>0.7533333333333333</v>
      </c>
      <c r="AC15" s="99">
        <v>0.44999999999999996</v>
      </c>
      <c r="AD15" s="44"/>
    </row>
    <row r="16" spans="1:31" ht="15" customHeight="1" x14ac:dyDescent="0.25">
      <c r="A16" s="76">
        <v>47</v>
      </c>
      <c r="B16" s="77">
        <v>70871092</v>
      </c>
      <c r="C16" s="78" t="s">
        <v>76</v>
      </c>
      <c r="D16" s="79" t="s">
        <v>224</v>
      </c>
      <c r="E16" s="79">
        <v>70871092</v>
      </c>
      <c r="F16" s="80" t="s">
        <v>341</v>
      </c>
      <c r="G16" s="81" t="s">
        <v>29</v>
      </c>
      <c r="H16" s="82" t="s">
        <v>12</v>
      </c>
      <c r="I16" s="83" t="s">
        <v>15</v>
      </c>
      <c r="J16" s="87"/>
      <c r="K16" s="88"/>
      <c r="L16" s="89">
        <v>10.4</v>
      </c>
      <c r="M16" s="10"/>
      <c r="N16" s="87"/>
      <c r="O16" s="88"/>
      <c r="P16" s="90">
        <v>18.670000000000002</v>
      </c>
      <c r="Q16" s="91">
        <f t="shared" si="0"/>
        <v>12.88</v>
      </c>
      <c r="R16" s="92">
        <v>64.400000000000006</v>
      </c>
      <c r="S16" s="93" t="s">
        <v>23</v>
      </c>
      <c r="T16" s="94">
        <v>1</v>
      </c>
      <c r="U16" s="95" t="s">
        <v>15</v>
      </c>
      <c r="V16" s="96" t="s">
        <v>23</v>
      </c>
      <c r="W16" s="97" t="s">
        <v>26</v>
      </c>
      <c r="X16" s="97"/>
      <c r="Y16" s="98"/>
      <c r="Z16" s="99">
        <v>0.436</v>
      </c>
      <c r="AA16" s="100" t="s">
        <v>322</v>
      </c>
      <c r="AB16" s="99">
        <v>0.85999999999999988</v>
      </c>
      <c r="AC16" s="99">
        <v>0.57999999999999996</v>
      </c>
      <c r="AD16" s="44"/>
    </row>
    <row r="17" spans="1:30" ht="15" customHeight="1" x14ac:dyDescent="0.25">
      <c r="A17" s="76">
        <v>53</v>
      </c>
      <c r="B17" s="77">
        <v>71117779</v>
      </c>
      <c r="C17" s="78" t="s">
        <v>76</v>
      </c>
      <c r="D17" s="79" t="s">
        <v>196</v>
      </c>
      <c r="E17" s="79">
        <v>71117779</v>
      </c>
      <c r="F17" s="80" t="s">
        <v>348</v>
      </c>
      <c r="G17" s="81" t="s">
        <v>29</v>
      </c>
      <c r="H17" s="82" t="s">
        <v>0</v>
      </c>
      <c r="I17" s="83" t="s">
        <v>11</v>
      </c>
      <c r="J17" s="87"/>
      <c r="K17" s="88"/>
      <c r="L17" s="89">
        <v>11.73</v>
      </c>
      <c r="M17" s="10"/>
      <c r="N17" s="87"/>
      <c r="O17" s="88"/>
      <c r="P17" s="90">
        <v>15.33</v>
      </c>
      <c r="Q17" s="91">
        <f t="shared" si="0"/>
        <v>12.81</v>
      </c>
      <c r="R17" s="92">
        <v>64.050000000000011</v>
      </c>
      <c r="S17" s="93" t="s">
        <v>23</v>
      </c>
      <c r="T17" s="94">
        <v>1</v>
      </c>
      <c r="U17" s="95" t="s">
        <v>11</v>
      </c>
      <c r="V17" s="96" t="s">
        <v>23</v>
      </c>
      <c r="W17" s="97" t="s">
        <v>26</v>
      </c>
      <c r="X17" s="97"/>
      <c r="Y17" s="98"/>
      <c r="Z17" s="99">
        <v>0.63200000000000001</v>
      </c>
      <c r="AA17" s="100" t="s">
        <v>318</v>
      </c>
      <c r="AB17" s="99">
        <v>0.7533333333333333</v>
      </c>
      <c r="AC17" s="99">
        <v>0.53</v>
      </c>
      <c r="AD17" s="44"/>
    </row>
    <row r="18" spans="1:30" ht="15" customHeight="1" x14ac:dyDescent="0.25">
      <c r="A18" s="76">
        <v>57</v>
      </c>
      <c r="B18" s="77">
        <v>71313462</v>
      </c>
      <c r="C18" s="78" t="s">
        <v>75</v>
      </c>
      <c r="D18" s="79" t="s">
        <v>114</v>
      </c>
      <c r="E18" s="79">
        <v>71313462</v>
      </c>
      <c r="F18" s="80" t="s">
        <v>60</v>
      </c>
      <c r="G18" s="81" t="s">
        <v>29</v>
      </c>
      <c r="H18" s="82" t="s">
        <v>0</v>
      </c>
      <c r="I18" s="83" t="s">
        <v>11</v>
      </c>
      <c r="J18" s="87"/>
      <c r="K18" s="88"/>
      <c r="L18" s="89">
        <v>10.93</v>
      </c>
      <c r="M18" s="10"/>
      <c r="N18" s="87"/>
      <c r="O18" s="88"/>
      <c r="P18" s="90">
        <v>16.670000000000002</v>
      </c>
      <c r="Q18" s="91">
        <f t="shared" si="0"/>
        <v>12.65</v>
      </c>
      <c r="R18" s="92">
        <v>63.250000000000007</v>
      </c>
      <c r="S18" s="93" t="s">
        <v>23</v>
      </c>
      <c r="T18" s="94">
        <v>1</v>
      </c>
      <c r="U18" s="95" t="s">
        <v>11</v>
      </c>
      <c r="V18" s="96" t="s">
        <v>23</v>
      </c>
      <c r="W18" s="97" t="s">
        <v>26</v>
      </c>
      <c r="X18" s="97"/>
      <c r="Y18" s="98"/>
      <c r="Z18" s="99">
        <v>0.60799999999999998</v>
      </c>
      <c r="AA18" s="100" t="s">
        <v>318</v>
      </c>
      <c r="AB18" s="99">
        <v>0.83333333333333326</v>
      </c>
      <c r="AC18" s="99">
        <v>0.47</v>
      </c>
      <c r="AD18" s="44"/>
    </row>
    <row r="19" spans="1:30" ht="15" customHeight="1" x14ac:dyDescent="0.25">
      <c r="A19" s="76">
        <v>62</v>
      </c>
      <c r="B19" s="77">
        <v>47576323</v>
      </c>
      <c r="C19" s="78" t="s">
        <v>76</v>
      </c>
      <c r="D19" s="79" t="s">
        <v>240</v>
      </c>
      <c r="E19" s="79">
        <v>47576323</v>
      </c>
      <c r="F19" s="80" t="s">
        <v>355</v>
      </c>
      <c r="G19" s="81" t="s">
        <v>29</v>
      </c>
      <c r="H19" s="82" t="s">
        <v>12</v>
      </c>
      <c r="I19" s="83" t="s">
        <v>15</v>
      </c>
      <c r="J19" s="87"/>
      <c r="K19" s="88"/>
      <c r="L19" s="89">
        <v>11.47</v>
      </c>
      <c r="M19" s="10"/>
      <c r="N19" s="87"/>
      <c r="O19" s="88"/>
      <c r="P19" s="90">
        <v>14.67</v>
      </c>
      <c r="Q19" s="91">
        <f t="shared" si="0"/>
        <v>12.43</v>
      </c>
      <c r="R19" s="92">
        <v>62.149999999999991</v>
      </c>
      <c r="S19" s="93" t="s">
        <v>23</v>
      </c>
      <c r="T19" s="94">
        <v>1</v>
      </c>
      <c r="U19" s="95" t="s">
        <v>15</v>
      </c>
      <c r="V19" s="96" t="s">
        <v>23</v>
      </c>
      <c r="W19" s="97" t="s">
        <v>26</v>
      </c>
      <c r="X19" s="97"/>
      <c r="Y19" s="98"/>
      <c r="Z19" s="99">
        <v>0.48799999999999999</v>
      </c>
      <c r="AA19" s="100" t="s">
        <v>99</v>
      </c>
      <c r="AB19" s="99">
        <v>0.70666666666666655</v>
      </c>
      <c r="AC19" s="99">
        <v>0.65999999999999992</v>
      </c>
      <c r="AD19" s="44"/>
    </row>
    <row r="20" spans="1:30" ht="15" customHeight="1" x14ac:dyDescent="0.25">
      <c r="A20" s="76">
        <v>67</v>
      </c>
      <c r="B20" s="77">
        <v>71313420</v>
      </c>
      <c r="C20" s="78" t="s">
        <v>75</v>
      </c>
      <c r="D20" s="79" t="s">
        <v>169</v>
      </c>
      <c r="E20" s="79">
        <v>71313420</v>
      </c>
      <c r="F20" s="80" t="s">
        <v>361</v>
      </c>
      <c r="G20" s="81" t="s">
        <v>29</v>
      </c>
      <c r="H20" s="82" t="s">
        <v>0</v>
      </c>
      <c r="I20" s="83" t="s">
        <v>18</v>
      </c>
      <c r="J20" s="87"/>
      <c r="K20" s="88"/>
      <c r="L20" s="89">
        <v>10.67</v>
      </c>
      <c r="M20" s="10"/>
      <c r="N20" s="87"/>
      <c r="O20" s="88"/>
      <c r="P20" s="90">
        <v>15.33</v>
      </c>
      <c r="Q20" s="91">
        <f t="shared" si="0"/>
        <v>12.07</v>
      </c>
      <c r="R20" s="92">
        <v>60.35</v>
      </c>
      <c r="S20" s="93" t="s">
        <v>23</v>
      </c>
      <c r="T20" s="94">
        <v>1</v>
      </c>
      <c r="U20" s="95" t="s">
        <v>18</v>
      </c>
      <c r="V20" s="96" t="s">
        <v>23</v>
      </c>
      <c r="W20" s="97" t="s">
        <v>26</v>
      </c>
      <c r="X20" s="97"/>
      <c r="Y20" s="98"/>
      <c r="Z20" s="99">
        <v>0.54800000000000004</v>
      </c>
      <c r="AA20" s="100" t="s">
        <v>99</v>
      </c>
      <c r="AB20" s="99">
        <v>0.69333333333333336</v>
      </c>
      <c r="AC20" s="99">
        <v>0.73</v>
      </c>
      <c r="AD20" s="44"/>
    </row>
    <row r="21" spans="1:30" ht="15" customHeight="1" x14ac:dyDescent="0.25">
      <c r="A21" s="76">
        <v>68</v>
      </c>
      <c r="B21" s="77">
        <v>71038463</v>
      </c>
      <c r="C21" s="78" t="s">
        <v>75</v>
      </c>
      <c r="D21" s="79" t="s">
        <v>128</v>
      </c>
      <c r="E21" s="79">
        <v>71038463</v>
      </c>
      <c r="F21" s="80" t="s">
        <v>362</v>
      </c>
      <c r="G21" s="81" t="s">
        <v>29</v>
      </c>
      <c r="H21" s="82" t="s">
        <v>12</v>
      </c>
      <c r="I21" s="83" t="s">
        <v>31</v>
      </c>
      <c r="J21" s="87"/>
      <c r="K21" s="88"/>
      <c r="L21" s="89">
        <v>11.47</v>
      </c>
      <c r="M21" s="10"/>
      <c r="N21" s="87"/>
      <c r="O21" s="88"/>
      <c r="P21" s="90">
        <v>13.33</v>
      </c>
      <c r="Q21" s="91">
        <f t="shared" si="0"/>
        <v>12.03</v>
      </c>
      <c r="R21" s="92">
        <v>60.149999999999991</v>
      </c>
      <c r="S21" s="93" t="s">
        <v>23</v>
      </c>
      <c r="T21" s="94">
        <v>1</v>
      </c>
      <c r="U21" s="95" t="s">
        <v>31</v>
      </c>
      <c r="V21" s="96" t="s">
        <v>23</v>
      </c>
      <c r="W21" s="97" t="s">
        <v>26</v>
      </c>
      <c r="X21" s="97"/>
      <c r="Y21" s="98"/>
      <c r="Z21" s="99">
        <v>0.6</v>
      </c>
      <c r="AA21" s="100" t="s">
        <v>318</v>
      </c>
      <c r="AB21" s="99">
        <v>0.64666666666666661</v>
      </c>
      <c r="AC21" s="99">
        <v>0.52</v>
      </c>
      <c r="AD21" s="44"/>
    </row>
    <row r="22" spans="1:30" ht="15" customHeight="1" x14ac:dyDescent="0.25">
      <c r="A22" s="76">
        <v>74</v>
      </c>
      <c r="B22" s="77">
        <v>46933462</v>
      </c>
      <c r="C22" s="78" t="s">
        <v>75</v>
      </c>
      <c r="D22" s="79" t="s">
        <v>174</v>
      </c>
      <c r="E22" s="79">
        <v>46933462</v>
      </c>
      <c r="F22" s="80" t="s">
        <v>365</v>
      </c>
      <c r="G22" s="81" t="s">
        <v>29</v>
      </c>
      <c r="H22" s="82" t="s">
        <v>12</v>
      </c>
      <c r="I22" s="83" t="s">
        <v>13</v>
      </c>
      <c r="J22" s="87"/>
      <c r="K22" s="88"/>
      <c r="L22" s="89">
        <v>11.47</v>
      </c>
      <c r="M22" s="10"/>
      <c r="N22" s="87"/>
      <c r="O22" s="88"/>
      <c r="P22" s="90">
        <v>12</v>
      </c>
      <c r="Q22" s="91">
        <f t="shared" si="0"/>
        <v>11.63</v>
      </c>
      <c r="R22" s="92">
        <v>58.15</v>
      </c>
      <c r="S22" s="93" t="s">
        <v>24</v>
      </c>
      <c r="T22" s="94">
        <v>1</v>
      </c>
      <c r="U22" s="95" t="s">
        <v>13</v>
      </c>
      <c r="V22" s="96" t="s">
        <v>24</v>
      </c>
      <c r="W22" s="97" t="s">
        <v>26</v>
      </c>
      <c r="X22" s="97"/>
      <c r="Y22" s="98"/>
      <c r="Z22" s="99">
        <v>0.376</v>
      </c>
      <c r="AA22" s="100" t="s">
        <v>322</v>
      </c>
      <c r="AB22" s="99">
        <v>0.78666666666666663</v>
      </c>
      <c r="AC22" s="99">
        <v>0.53</v>
      </c>
      <c r="AD22" s="44"/>
    </row>
    <row r="23" spans="1:30" ht="15" customHeight="1" x14ac:dyDescent="0.25">
      <c r="A23" s="76">
        <v>80</v>
      </c>
      <c r="B23" s="77">
        <v>71084583</v>
      </c>
      <c r="C23" s="78" t="s">
        <v>76</v>
      </c>
      <c r="D23" s="79" t="s">
        <v>258</v>
      </c>
      <c r="E23" s="79">
        <v>71084583</v>
      </c>
      <c r="F23" s="80" t="s">
        <v>370</v>
      </c>
      <c r="G23" s="81" t="s">
        <v>29</v>
      </c>
      <c r="H23" s="82" t="s">
        <v>0</v>
      </c>
      <c r="I23" s="83" t="s">
        <v>18</v>
      </c>
      <c r="J23" s="87"/>
      <c r="K23" s="88"/>
      <c r="L23" s="89">
        <v>10.4</v>
      </c>
      <c r="M23" s="10"/>
      <c r="N23" s="87"/>
      <c r="O23" s="88"/>
      <c r="P23" s="90">
        <v>12</v>
      </c>
      <c r="Q23" s="91">
        <f t="shared" si="0"/>
        <v>10.88</v>
      </c>
      <c r="R23" s="92">
        <v>54.400000000000006</v>
      </c>
      <c r="S23" s="93" t="s">
        <v>24</v>
      </c>
      <c r="T23" s="94">
        <v>1</v>
      </c>
      <c r="U23" s="95" t="s">
        <v>18</v>
      </c>
      <c r="V23" s="96" t="s">
        <v>23</v>
      </c>
      <c r="W23" s="97" t="s">
        <v>26</v>
      </c>
      <c r="X23" s="97"/>
      <c r="Y23" s="98"/>
      <c r="Z23" s="99">
        <v>0.54400000000000004</v>
      </c>
      <c r="AA23" s="100" t="s">
        <v>371</v>
      </c>
      <c r="AB23" s="99">
        <v>0.55333333333333323</v>
      </c>
      <c r="AC23" s="99">
        <v>0.53</v>
      </c>
      <c r="AD23" s="44"/>
    </row>
    <row r="24" spans="1:30" ht="15" customHeight="1" x14ac:dyDescent="0.25">
      <c r="A24" s="76">
        <v>83</v>
      </c>
      <c r="B24" s="77">
        <v>60488934</v>
      </c>
      <c r="C24" s="78" t="s">
        <v>77</v>
      </c>
      <c r="D24" s="79" t="s">
        <v>285</v>
      </c>
      <c r="E24" s="79">
        <v>60488934</v>
      </c>
      <c r="F24" s="80" t="s">
        <v>97</v>
      </c>
      <c r="G24" s="81" t="s">
        <v>29</v>
      </c>
      <c r="H24" s="82" t="s">
        <v>12</v>
      </c>
      <c r="I24" s="83" t="s">
        <v>15</v>
      </c>
      <c r="J24" s="87"/>
      <c r="K24" s="88"/>
      <c r="L24" s="89">
        <v>9.33</v>
      </c>
      <c r="M24" s="10"/>
      <c r="N24" s="87"/>
      <c r="O24" s="88"/>
      <c r="P24" s="90">
        <v>13.33</v>
      </c>
      <c r="Q24" s="91">
        <f t="shared" si="0"/>
        <v>10.53</v>
      </c>
      <c r="R24" s="92">
        <v>52.65</v>
      </c>
      <c r="S24" s="93" t="s">
        <v>24</v>
      </c>
      <c r="T24" s="94">
        <v>1</v>
      </c>
      <c r="U24" s="95" t="s">
        <v>15</v>
      </c>
      <c r="V24" s="96" t="s">
        <v>23</v>
      </c>
      <c r="W24" s="97" t="s">
        <v>26</v>
      </c>
      <c r="X24" s="97"/>
      <c r="Y24" s="98"/>
      <c r="Z24" s="99">
        <v>0.376</v>
      </c>
      <c r="AA24" s="100" t="s">
        <v>322</v>
      </c>
      <c r="AB24" s="99">
        <v>0.64666666666666661</v>
      </c>
      <c r="AC24" s="99">
        <v>0.52</v>
      </c>
      <c r="AD24" s="44"/>
    </row>
    <row r="25" spans="1:30" ht="15" customHeight="1" x14ac:dyDescent="0.25">
      <c r="A25" s="76">
        <v>89</v>
      </c>
      <c r="B25" s="77">
        <v>16707942</v>
      </c>
      <c r="C25" s="78" t="s">
        <v>76</v>
      </c>
      <c r="D25" s="79" t="s">
        <v>198</v>
      </c>
      <c r="E25" s="79">
        <v>16707942</v>
      </c>
      <c r="F25" s="80" t="s">
        <v>377</v>
      </c>
      <c r="G25" s="81" t="s">
        <v>29</v>
      </c>
      <c r="H25" s="82" t="s">
        <v>12</v>
      </c>
      <c r="I25" s="83" t="s">
        <v>16</v>
      </c>
      <c r="J25" s="87"/>
      <c r="K25" s="88"/>
      <c r="L25" s="89">
        <v>5.87</v>
      </c>
      <c r="M25" s="10"/>
      <c r="N25" s="87"/>
      <c r="O25" s="88"/>
      <c r="P25" s="90">
        <v>18.670000000000002</v>
      </c>
      <c r="Q25" s="91">
        <f t="shared" si="0"/>
        <v>9.7100000000000009</v>
      </c>
      <c r="R25" s="92">
        <v>48.550000000000004</v>
      </c>
      <c r="S25" s="93" t="s">
        <v>24</v>
      </c>
      <c r="T25" s="94">
        <v>1</v>
      </c>
      <c r="U25" s="95" t="s">
        <v>16</v>
      </c>
      <c r="V25" s="96" t="s">
        <v>23</v>
      </c>
      <c r="W25" s="97" t="s">
        <v>26</v>
      </c>
      <c r="X25" s="97"/>
      <c r="Y25" s="98"/>
      <c r="Z25" s="99">
        <v>0.46399999999999997</v>
      </c>
      <c r="AA25" s="100" t="s">
        <v>371</v>
      </c>
      <c r="AB25" s="99">
        <v>0.48666666666666664</v>
      </c>
      <c r="AC25" s="99">
        <v>0.51</v>
      </c>
      <c r="AD25" s="44"/>
    </row>
    <row r="26" spans="1:30" ht="15" customHeight="1" x14ac:dyDescent="0.25">
      <c r="A26" s="76">
        <v>92</v>
      </c>
      <c r="B26" s="77">
        <v>71097212</v>
      </c>
      <c r="C26" s="78" t="s">
        <v>75</v>
      </c>
      <c r="D26" s="79" t="s">
        <v>160</v>
      </c>
      <c r="E26" s="79">
        <v>71097212</v>
      </c>
      <c r="F26" s="80" t="s">
        <v>380</v>
      </c>
      <c r="G26" s="81" t="s">
        <v>29</v>
      </c>
      <c r="H26" s="82" t="s">
        <v>0</v>
      </c>
      <c r="I26" s="83" t="s">
        <v>18</v>
      </c>
      <c r="J26" s="87"/>
      <c r="K26" s="88"/>
      <c r="L26" s="89">
        <v>8.5299999999999994</v>
      </c>
      <c r="M26" s="10"/>
      <c r="N26" s="87"/>
      <c r="O26" s="88"/>
      <c r="P26" s="90">
        <v>12</v>
      </c>
      <c r="Q26" s="91">
        <f t="shared" si="0"/>
        <v>9.57</v>
      </c>
      <c r="R26" s="92">
        <v>47.85</v>
      </c>
      <c r="S26" s="93" t="s">
        <v>24</v>
      </c>
      <c r="T26" s="94">
        <v>1</v>
      </c>
      <c r="U26" s="95" t="s">
        <v>18</v>
      </c>
      <c r="V26" s="96" t="s">
        <v>23</v>
      </c>
      <c r="W26" s="97" t="s">
        <v>26</v>
      </c>
      <c r="X26" s="97"/>
      <c r="Y26" s="98"/>
      <c r="Z26" s="99">
        <v>0.45999999999999996</v>
      </c>
      <c r="AA26" s="100" t="s">
        <v>322</v>
      </c>
      <c r="AB26" s="99">
        <v>0.6</v>
      </c>
      <c r="AC26" s="99">
        <v>0.39</v>
      </c>
      <c r="AD26" s="44"/>
    </row>
    <row r="27" spans="1:30" ht="15" customHeight="1" x14ac:dyDescent="0.25">
      <c r="A27" s="76">
        <v>97</v>
      </c>
      <c r="B27" s="77">
        <v>48230913</v>
      </c>
      <c r="C27" s="78" t="s">
        <v>76</v>
      </c>
      <c r="D27" s="79" t="s">
        <v>204</v>
      </c>
      <c r="E27" s="79">
        <v>48230913</v>
      </c>
      <c r="F27" s="80" t="s">
        <v>385</v>
      </c>
      <c r="G27" s="81" t="s">
        <v>29</v>
      </c>
      <c r="H27" s="82" t="s">
        <v>0</v>
      </c>
      <c r="I27" s="83" t="s">
        <v>17</v>
      </c>
      <c r="J27" s="87"/>
      <c r="K27" s="88"/>
      <c r="L27" s="89">
        <v>6.4</v>
      </c>
      <c r="M27" s="10"/>
      <c r="N27" s="87"/>
      <c r="O27" s="88"/>
      <c r="P27" s="90">
        <v>12</v>
      </c>
      <c r="Q27" s="91">
        <f t="shared" si="0"/>
        <v>8.08</v>
      </c>
      <c r="R27" s="92">
        <v>40.400000000000006</v>
      </c>
      <c r="S27" s="93" t="s">
        <v>24</v>
      </c>
      <c r="T27" s="94">
        <v>1</v>
      </c>
      <c r="U27" s="95" t="s">
        <v>17</v>
      </c>
      <c r="V27" s="96" t="s">
        <v>23</v>
      </c>
      <c r="W27" s="97" t="s">
        <v>26</v>
      </c>
      <c r="X27" s="97"/>
      <c r="Y27" s="98"/>
      <c r="Z27" s="99">
        <v>0.31999999999999995</v>
      </c>
      <c r="AA27" s="100" t="s">
        <v>322</v>
      </c>
      <c r="AB27" s="99">
        <v>0.69333333333333336</v>
      </c>
      <c r="AC27" s="99">
        <v>0.39</v>
      </c>
      <c r="AD27" s="44"/>
    </row>
  </sheetData>
  <sheetProtection autoFilter="0"/>
  <autoFilter ref="A8:AC27" xr:uid="{0A33CDFD-814C-4E5F-888E-02288773D1F2}">
    <sortState xmlns:xlrd2="http://schemas.microsoft.com/office/spreadsheetml/2017/richdata2" ref="A9:AC27">
      <sortCondition ref="A8:A27"/>
    </sortState>
  </autoFilter>
  <mergeCells count="4">
    <mergeCell ref="J2:L5"/>
    <mergeCell ref="N2:P5"/>
    <mergeCell ref="U2:U3"/>
    <mergeCell ref="Q5:S5"/>
  </mergeCells>
  <conditionalFormatting sqref="L9:L27">
    <cfRule type="expression" dxfId="30" priority="4">
      <formula>L9=""</formula>
    </cfRule>
    <cfRule type="expression" dxfId="29" priority="5">
      <formula>L9&lt;&gt;""</formula>
    </cfRule>
  </conditionalFormatting>
  <conditionalFormatting sqref="N9:N27 J9:J27">
    <cfRule type="expression" dxfId="28" priority="3">
      <formula>J9=""</formula>
    </cfRule>
    <cfRule type="expression" dxfId="27" priority="6">
      <formula>J9&lt;&gt;""</formula>
    </cfRule>
  </conditionalFormatting>
  <conditionalFormatting sqref="K9:K27 O9:O27">
    <cfRule type="expression" dxfId="26" priority="1">
      <formula>K9=""</formula>
    </cfRule>
    <cfRule type="expression" dxfId="25" priority="2">
      <formula>K9&lt;&gt;""</formula>
    </cfRule>
  </conditionalFormatting>
  <conditionalFormatting sqref="C9:I27">
    <cfRule type="expression" dxfId="24" priority="1494">
      <formula>OR(#REF!="IMCOMPLETA", $X9="NO APTO")</formula>
    </cfRule>
    <cfRule type="expression" dxfId="23" priority="1495">
      <formula>$U9="NO INGRESANTE"</formula>
    </cfRule>
    <cfRule type="expression" dxfId="22" priority="1496">
      <formula>$U9="INGRESANTE"</formula>
    </cfRule>
  </conditionalFormatting>
  <conditionalFormatting sqref="Z9:Z27">
    <cfRule type="colorScale" priority="1630">
      <colorScale>
        <cfvo type="percent" val="0"/>
        <cfvo type="percent" val="40"/>
        <cfvo type="percent" val="100"/>
        <color rgb="FFF8696B"/>
        <color rgb="FFFFEB84"/>
        <color rgb="FF63BE7B"/>
      </colorScale>
    </cfRule>
  </conditionalFormatting>
  <conditionalFormatting sqref="AA9:AA27">
    <cfRule type="colorScale" priority="1631">
      <colorScale>
        <cfvo type="percent" val="0"/>
        <cfvo type="percent" val="40"/>
        <cfvo type="percent" val="100"/>
        <color rgb="FFF8696B"/>
        <color rgb="FFFFEB84"/>
        <color rgb="FF63BE7B"/>
      </colorScale>
    </cfRule>
  </conditionalFormatting>
  <conditionalFormatting sqref="AB9:AC27">
    <cfRule type="colorScale" priority="1632">
      <colorScale>
        <cfvo type="percent" val="0"/>
        <cfvo type="percent" val="40"/>
        <cfvo type="percent" val="10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scale="10" fitToHeight="0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093B3-4379-4426-93A4-7F8BC4C277EB}">
  <sheetPr codeName="Hoja15">
    <tabColor rgb="FF00B050"/>
    <pageSetUpPr fitToPage="1"/>
  </sheetPr>
  <dimension ref="A1:AG27"/>
  <sheetViews>
    <sheetView topLeftCell="E1" zoomScale="90" zoomScaleNormal="90" workbookViewId="0">
      <selection activeCell="L9" sqref="L9"/>
    </sheetView>
  </sheetViews>
  <sheetFormatPr baseColWidth="10" defaultRowHeight="15" x14ac:dyDescent="0.25"/>
  <cols>
    <col min="1" max="1" width="5.42578125" style="1" customWidth="1"/>
    <col min="2" max="2" width="14.140625" style="101" bestFit="1" customWidth="1"/>
    <col min="3" max="3" width="29" style="1" bestFit="1" customWidth="1"/>
    <col min="4" max="4" width="15.5703125" style="1" customWidth="1"/>
    <col min="5" max="5" width="11.28515625" style="1" customWidth="1"/>
    <col min="6" max="6" width="40.28515625" style="1" customWidth="1"/>
    <col min="7" max="7" width="18.7109375" style="1" bestFit="1" customWidth="1"/>
    <col min="8" max="8" width="10" style="1" customWidth="1"/>
    <col min="9" max="9" width="39.140625" style="1" bestFit="1" customWidth="1"/>
    <col min="10" max="10" width="13.28515625" style="1" customWidth="1"/>
    <col min="11" max="11" width="8.140625" style="1" customWidth="1"/>
    <col min="12" max="12" width="6.5703125" style="1" customWidth="1"/>
    <col min="13" max="13" width="0.7109375" style="1" customWidth="1"/>
    <col min="14" max="14" width="11.140625" style="1" customWidth="1"/>
    <col min="15" max="15" width="7.42578125" style="1" customWidth="1"/>
    <col min="16" max="16" width="9.28515625" style="1" customWidth="1"/>
    <col min="17" max="17" width="14.42578125" style="1" customWidth="1"/>
    <col min="18" max="18" width="15.140625" style="1" customWidth="1"/>
    <col min="19" max="19" width="18.7109375" style="1" customWidth="1"/>
    <col min="20" max="20" width="5.140625" style="3" customWidth="1"/>
    <col min="21" max="21" width="19.85546875" style="1" customWidth="1"/>
    <col min="22" max="22" width="22.42578125" style="1" customWidth="1"/>
    <col min="23" max="23" width="15.42578125" style="12" customWidth="1"/>
    <col min="24" max="24" width="8.42578125" style="12" customWidth="1"/>
    <col min="25" max="25" width="1.140625" style="15" customWidth="1"/>
    <col min="26" max="26" width="15.42578125" style="12" customWidth="1"/>
    <col min="27" max="27" width="63.42578125" style="12" bestFit="1" customWidth="1"/>
    <col min="28" max="31" width="15.42578125" style="12" customWidth="1"/>
    <col min="32" max="32" width="5.140625" style="1" customWidth="1"/>
    <col min="33" max="33" width="11.42578125" style="1" customWidth="1"/>
    <col min="34" max="34" width="11.85546875" style="1" bestFit="1" customWidth="1"/>
    <col min="35" max="16384" width="11.42578125" style="1"/>
  </cols>
  <sheetData>
    <row r="1" spans="1:33" ht="15.75" thickBot="1" x14ac:dyDescent="0.3">
      <c r="B1" s="3"/>
      <c r="F1" s="3"/>
      <c r="H1" s="3"/>
      <c r="J1" s="3"/>
      <c r="L1" s="3"/>
      <c r="N1" s="3"/>
      <c r="P1" s="3"/>
      <c r="S1" s="3"/>
      <c r="V1" s="3"/>
      <c r="W1" s="1"/>
      <c r="X1" s="3"/>
      <c r="Y1" s="1"/>
      <c r="Z1" s="1"/>
      <c r="AA1" s="1"/>
      <c r="AB1" s="3"/>
      <c r="AC1" s="3"/>
      <c r="AD1" s="1"/>
      <c r="AE1" s="3"/>
    </row>
    <row r="2" spans="1:33" ht="34.5" thickBot="1" x14ac:dyDescent="0.3">
      <c r="A2" s="4" t="s">
        <v>51</v>
      </c>
      <c r="B2" s="5"/>
      <c r="C2" s="6"/>
      <c r="D2" s="6"/>
      <c r="E2" s="6"/>
      <c r="F2" s="6"/>
      <c r="G2" s="6"/>
      <c r="H2" s="6"/>
      <c r="I2" s="7" t="s">
        <v>295</v>
      </c>
      <c r="J2" s="288" t="s">
        <v>44</v>
      </c>
      <c r="K2" s="289"/>
      <c r="L2" s="290"/>
      <c r="M2" s="10"/>
      <c r="N2" s="297" t="s">
        <v>43</v>
      </c>
      <c r="O2" s="298"/>
      <c r="P2" s="299"/>
      <c r="Q2" s="10"/>
      <c r="R2" s="10"/>
      <c r="S2" s="10"/>
      <c r="T2" s="13"/>
      <c r="U2" s="283" t="s">
        <v>30</v>
      </c>
      <c r="V2" s="2" t="s">
        <v>23</v>
      </c>
      <c r="W2" s="24">
        <v>101</v>
      </c>
      <c r="X2" s="27"/>
      <c r="AA2" s="26"/>
      <c r="AB2" s="103" t="s">
        <v>57</v>
      </c>
      <c r="AC2" s="103" t="s">
        <v>58</v>
      </c>
      <c r="AF2" s="16"/>
    </row>
    <row r="3" spans="1:33" ht="18.75" thickBot="1" x14ac:dyDescent="0.3">
      <c r="A3" s="17"/>
      <c r="B3" s="18" t="s">
        <v>295</v>
      </c>
      <c r="C3" s="19"/>
      <c r="D3" s="19"/>
      <c r="E3" s="19"/>
      <c r="F3" s="19"/>
      <c r="G3" s="19"/>
      <c r="H3" s="19"/>
      <c r="I3" s="20"/>
      <c r="J3" s="291"/>
      <c r="K3" s="292"/>
      <c r="L3" s="293"/>
      <c r="M3" s="10"/>
      <c r="N3" s="300"/>
      <c r="O3" s="301"/>
      <c r="P3" s="302"/>
      <c r="Q3" s="10"/>
      <c r="R3" s="10"/>
      <c r="S3" s="10"/>
      <c r="T3" s="13"/>
      <c r="U3" s="284"/>
      <c r="V3" s="2" t="s">
        <v>55</v>
      </c>
      <c r="W3" s="24">
        <v>2</v>
      </c>
      <c r="X3" s="24">
        <v>103</v>
      </c>
      <c r="Y3" s="25"/>
      <c r="Z3" s="26"/>
      <c r="AA3" s="104" t="s">
        <v>59</v>
      </c>
      <c r="AB3" s="102">
        <v>5</v>
      </c>
      <c r="AC3" s="102">
        <v>5</v>
      </c>
      <c r="AD3" s="26"/>
      <c r="AE3" s="26"/>
      <c r="AF3" s="16"/>
    </row>
    <row r="4" spans="1:33" ht="18.75" thickBot="1" x14ac:dyDescent="0.3">
      <c r="A4" s="17"/>
      <c r="B4" s="18" t="s">
        <v>98</v>
      </c>
      <c r="C4" s="19"/>
      <c r="D4" s="19"/>
      <c r="E4" s="19"/>
      <c r="F4" s="19"/>
      <c r="G4" s="19"/>
      <c r="H4" s="19"/>
      <c r="I4" s="20"/>
      <c r="J4" s="291"/>
      <c r="K4" s="292"/>
      <c r="L4" s="293"/>
      <c r="M4" s="10"/>
      <c r="N4" s="300"/>
      <c r="O4" s="301"/>
      <c r="P4" s="302"/>
      <c r="Q4" s="10"/>
      <c r="R4" s="10"/>
      <c r="S4" s="10"/>
      <c r="T4" s="13"/>
      <c r="AF4" s="16"/>
    </row>
    <row r="5" spans="1:33" ht="18.75" thickBot="1" x14ac:dyDescent="0.3">
      <c r="A5" s="17"/>
      <c r="B5" s="18"/>
      <c r="C5" s="19"/>
      <c r="D5" s="19"/>
      <c r="E5" s="19"/>
      <c r="F5" s="19"/>
      <c r="G5" s="19"/>
      <c r="H5" s="19"/>
      <c r="I5" s="20"/>
      <c r="J5" s="294"/>
      <c r="K5" s="295"/>
      <c r="L5" s="296"/>
      <c r="M5" s="10"/>
      <c r="N5" s="303"/>
      <c r="O5" s="304"/>
      <c r="P5" s="304"/>
      <c r="Q5" s="285" t="s">
        <v>33</v>
      </c>
      <c r="R5" s="286"/>
      <c r="S5" s="287"/>
      <c r="T5" s="13"/>
      <c r="Y5" s="25"/>
      <c r="Z5" s="26"/>
      <c r="AD5" s="26"/>
      <c r="AE5" s="26"/>
      <c r="AF5" s="16"/>
    </row>
    <row r="6" spans="1:33" ht="18.75" thickBot="1" x14ac:dyDescent="0.3">
      <c r="A6" s="32"/>
      <c r="B6" s="33"/>
      <c r="C6" s="34"/>
      <c r="D6" s="34"/>
      <c r="E6" s="34"/>
      <c r="F6" s="34"/>
      <c r="G6" s="19"/>
      <c r="H6" s="19"/>
      <c r="I6" s="35"/>
      <c r="J6" s="36">
        <v>5</v>
      </c>
      <c r="K6" s="37" t="s">
        <v>46</v>
      </c>
      <c r="L6" s="38">
        <v>8</v>
      </c>
      <c r="M6" s="10"/>
      <c r="N6" s="36">
        <v>5</v>
      </c>
      <c r="O6" s="37" t="s">
        <v>46</v>
      </c>
      <c r="P6" s="39">
        <v>4</v>
      </c>
      <c r="Q6" s="40">
        <v>5.33</v>
      </c>
      <c r="R6" s="40">
        <v>26.650000000000002</v>
      </c>
      <c r="S6" s="40"/>
      <c r="T6" s="13"/>
      <c r="Y6" s="42"/>
      <c r="Z6" s="43"/>
      <c r="AD6" s="43"/>
      <c r="AE6" s="43"/>
      <c r="AF6" s="10"/>
      <c r="AG6" s="44"/>
    </row>
    <row r="7" spans="1:33" ht="18.75" thickBot="1" x14ac:dyDescent="0.3">
      <c r="A7" s="32"/>
      <c r="B7" s="33"/>
      <c r="C7" s="34"/>
      <c r="D7" s="34"/>
      <c r="E7" s="34"/>
      <c r="F7" s="34"/>
      <c r="G7" s="34"/>
      <c r="H7" s="34"/>
      <c r="I7" s="35"/>
      <c r="J7" s="36">
        <v>0</v>
      </c>
      <c r="K7" s="37" t="s">
        <v>47</v>
      </c>
      <c r="L7" s="38">
        <v>20</v>
      </c>
      <c r="M7" s="10"/>
      <c r="N7" s="36">
        <v>0</v>
      </c>
      <c r="O7" s="46" t="s">
        <v>47</v>
      </c>
      <c r="P7" s="39">
        <v>20</v>
      </c>
      <c r="Q7" s="47">
        <v>20</v>
      </c>
      <c r="R7" s="47">
        <v>100</v>
      </c>
      <c r="S7" s="207" t="s">
        <v>423</v>
      </c>
      <c r="T7" s="13"/>
      <c r="V7" s="207" t="s">
        <v>422</v>
      </c>
      <c r="Y7" s="50"/>
      <c r="Z7" s="51"/>
      <c r="AA7" s="51"/>
      <c r="AB7" s="51"/>
      <c r="AC7" s="51"/>
      <c r="AD7" s="51"/>
      <c r="AE7" s="51"/>
      <c r="AF7" s="10"/>
      <c r="AG7" s="44"/>
    </row>
    <row r="8" spans="1:33" ht="15.75" thickBot="1" x14ac:dyDescent="0.3">
      <c r="A8" s="52" t="s">
        <v>2</v>
      </c>
      <c r="B8" s="53" t="s">
        <v>21</v>
      </c>
      <c r="C8" s="54" t="s">
        <v>25</v>
      </c>
      <c r="D8" s="54" t="s">
        <v>4</v>
      </c>
      <c r="E8" s="54" t="s">
        <v>3</v>
      </c>
      <c r="F8" s="55" t="s">
        <v>5</v>
      </c>
      <c r="G8" s="55" t="s">
        <v>54</v>
      </c>
      <c r="H8" s="56" t="s">
        <v>22</v>
      </c>
      <c r="I8" s="57" t="s">
        <v>6</v>
      </c>
      <c r="J8" s="61" t="s">
        <v>7</v>
      </c>
      <c r="K8" s="62"/>
      <c r="L8" s="63" t="s">
        <v>8</v>
      </c>
      <c r="M8" s="60"/>
      <c r="N8" s="66" t="s">
        <v>7</v>
      </c>
      <c r="O8" s="62"/>
      <c r="P8" s="67" t="s">
        <v>9</v>
      </c>
      <c r="Q8" s="68" t="s">
        <v>48</v>
      </c>
      <c r="R8" s="69" t="s">
        <v>33</v>
      </c>
      <c r="S8" s="69" t="s">
        <v>49</v>
      </c>
      <c r="T8" s="70" t="s">
        <v>56</v>
      </c>
      <c r="U8" s="71" t="s">
        <v>6</v>
      </c>
      <c r="V8" s="72" t="s">
        <v>50</v>
      </c>
      <c r="W8" s="72" t="s">
        <v>35</v>
      </c>
      <c r="X8" s="72"/>
      <c r="Y8" s="73"/>
      <c r="Z8" s="74" t="s">
        <v>37</v>
      </c>
      <c r="AA8" s="74" t="s">
        <v>38</v>
      </c>
      <c r="AB8" s="74" t="s">
        <v>39</v>
      </c>
      <c r="AC8" s="74" t="s">
        <v>40</v>
      </c>
      <c r="AD8" s="74" t="s">
        <v>41</v>
      </c>
      <c r="AE8" s="74" t="s">
        <v>42</v>
      </c>
      <c r="AF8" s="75"/>
    </row>
    <row r="9" spans="1:33" ht="15" customHeight="1" x14ac:dyDescent="0.25">
      <c r="A9" s="76">
        <v>1</v>
      </c>
      <c r="B9" s="77">
        <v>16707942</v>
      </c>
      <c r="C9" s="78" t="s">
        <v>76</v>
      </c>
      <c r="D9" s="79" t="s">
        <v>198</v>
      </c>
      <c r="E9" s="79">
        <v>16707942</v>
      </c>
      <c r="F9" s="80" t="s">
        <v>377</v>
      </c>
      <c r="G9" s="81" t="s">
        <v>29</v>
      </c>
      <c r="H9" s="82" t="s">
        <v>12</v>
      </c>
      <c r="I9" s="83" t="s">
        <v>16</v>
      </c>
      <c r="J9" s="87">
        <v>5</v>
      </c>
      <c r="K9" s="88"/>
      <c r="L9" s="89">
        <v>20</v>
      </c>
      <c r="M9" s="10"/>
      <c r="N9" s="87">
        <v>4</v>
      </c>
      <c r="O9" s="88"/>
      <c r="P9" s="90">
        <v>16</v>
      </c>
      <c r="Q9" s="91">
        <v>18.670000000000002</v>
      </c>
      <c r="R9" s="92">
        <v>93.350000000000009</v>
      </c>
      <c r="S9" s="93" t="s">
        <v>23</v>
      </c>
      <c r="T9" s="94">
        <v>1</v>
      </c>
      <c r="U9" s="95" t="s">
        <v>16</v>
      </c>
      <c r="V9" s="96" t="s">
        <v>23</v>
      </c>
      <c r="W9" s="97" t="s">
        <v>27</v>
      </c>
      <c r="X9" s="97"/>
      <c r="Y9" s="98"/>
      <c r="Z9" s="99">
        <v>0.8</v>
      </c>
      <c r="AA9" s="100" t="s">
        <v>53</v>
      </c>
      <c r="AB9" s="97">
        <v>5</v>
      </c>
      <c r="AC9" s="97">
        <v>5</v>
      </c>
      <c r="AD9" s="99">
        <v>1</v>
      </c>
      <c r="AE9" s="99">
        <v>1</v>
      </c>
      <c r="AF9" s="44"/>
    </row>
    <row r="10" spans="1:33" ht="15" customHeight="1" x14ac:dyDescent="0.25">
      <c r="A10" s="76">
        <v>2</v>
      </c>
      <c r="B10" s="77">
        <v>46933462</v>
      </c>
      <c r="C10" s="78" t="s">
        <v>75</v>
      </c>
      <c r="D10" s="79" t="s">
        <v>174</v>
      </c>
      <c r="E10" s="79">
        <v>46933462</v>
      </c>
      <c r="F10" s="80" t="s">
        <v>365</v>
      </c>
      <c r="G10" s="81" t="s">
        <v>29</v>
      </c>
      <c r="H10" s="82" t="s">
        <v>12</v>
      </c>
      <c r="I10" s="83" t="s">
        <v>13</v>
      </c>
      <c r="J10" s="87">
        <v>3</v>
      </c>
      <c r="K10" s="88"/>
      <c r="L10" s="89">
        <v>12</v>
      </c>
      <c r="M10" s="10"/>
      <c r="N10" s="87">
        <v>3</v>
      </c>
      <c r="O10" s="88"/>
      <c r="P10" s="90">
        <v>12</v>
      </c>
      <c r="Q10" s="91">
        <v>12</v>
      </c>
      <c r="R10" s="92">
        <v>60</v>
      </c>
      <c r="S10" s="93" t="s">
        <v>23</v>
      </c>
      <c r="T10" s="94">
        <v>1</v>
      </c>
      <c r="U10" s="95" t="s">
        <v>13</v>
      </c>
      <c r="V10" s="96" t="s">
        <v>23</v>
      </c>
      <c r="W10" s="97" t="s">
        <v>27</v>
      </c>
      <c r="X10" s="97"/>
      <c r="Y10" s="98"/>
      <c r="Z10" s="99">
        <v>0.6</v>
      </c>
      <c r="AA10" s="100" t="s">
        <v>53</v>
      </c>
      <c r="AB10" s="97">
        <v>3</v>
      </c>
      <c r="AC10" s="97">
        <v>3</v>
      </c>
      <c r="AD10" s="99">
        <v>0.6</v>
      </c>
      <c r="AE10" s="99">
        <v>0.6</v>
      </c>
      <c r="AF10" s="44"/>
    </row>
    <row r="11" spans="1:33" ht="15" customHeight="1" x14ac:dyDescent="0.25">
      <c r="A11" s="76">
        <v>3</v>
      </c>
      <c r="B11" s="77">
        <v>47080538</v>
      </c>
      <c r="C11" s="78" t="s">
        <v>76</v>
      </c>
      <c r="D11" s="79" t="s">
        <v>236</v>
      </c>
      <c r="E11" s="79">
        <v>47080538</v>
      </c>
      <c r="F11" s="80" t="s">
        <v>308</v>
      </c>
      <c r="G11" s="81" t="s">
        <v>29</v>
      </c>
      <c r="H11" s="82" t="s">
        <v>12</v>
      </c>
      <c r="I11" s="83" t="s">
        <v>13</v>
      </c>
      <c r="J11" s="87">
        <v>5</v>
      </c>
      <c r="K11" s="88"/>
      <c r="L11" s="89">
        <v>20</v>
      </c>
      <c r="M11" s="10"/>
      <c r="N11" s="87">
        <v>4</v>
      </c>
      <c r="O11" s="88"/>
      <c r="P11" s="90">
        <v>16</v>
      </c>
      <c r="Q11" s="91">
        <v>18.670000000000002</v>
      </c>
      <c r="R11" s="92">
        <v>93.350000000000009</v>
      </c>
      <c r="S11" s="93" t="s">
        <v>23</v>
      </c>
      <c r="T11" s="94">
        <v>1</v>
      </c>
      <c r="U11" s="95" t="s">
        <v>13</v>
      </c>
      <c r="V11" s="96" t="s">
        <v>23</v>
      </c>
      <c r="W11" s="97" t="s">
        <v>27</v>
      </c>
      <c r="X11" s="97"/>
      <c r="Y11" s="98"/>
      <c r="Z11" s="99">
        <v>0.8</v>
      </c>
      <c r="AA11" s="100" t="s">
        <v>53</v>
      </c>
      <c r="AB11" s="97">
        <v>5</v>
      </c>
      <c r="AC11" s="97">
        <v>5</v>
      </c>
      <c r="AD11" s="99">
        <v>1</v>
      </c>
      <c r="AE11" s="99">
        <v>1</v>
      </c>
      <c r="AF11" s="44"/>
    </row>
    <row r="12" spans="1:33" ht="15" customHeight="1" x14ac:dyDescent="0.25">
      <c r="A12" s="76">
        <v>4</v>
      </c>
      <c r="B12" s="77">
        <v>47576323</v>
      </c>
      <c r="C12" s="78" t="s">
        <v>76</v>
      </c>
      <c r="D12" s="79" t="s">
        <v>240</v>
      </c>
      <c r="E12" s="79">
        <v>47576323</v>
      </c>
      <c r="F12" s="80" t="s">
        <v>355</v>
      </c>
      <c r="G12" s="81" t="s">
        <v>29</v>
      </c>
      <c r="H12" s="82" t="s">
        <v>12</v>
      </c>
      <c r="I12" s="83" t="s">
        <v>15</v>
      </c>
      <c r="J12" s="87">
        <v>4</v>
      </c>
      <c r="K12" s="88"/>
      <c r="L12" s="89">
        <v>16</v>
      </c>
      <c r="M12" s="10"/>
      <c r="N12" s="87">
        <v>3</v>
      </c>
      <c r="O12" s="88"/>
      <c r="P12" s="90">
        <v>12</v>
      </c>
      <c r="Q12" s="91">
        <v>14.67</v>
      </c>
      <c r="R12" s="92">
        <v>73.350000000000009</v>
      </c>
      <c r="S12" s="93" t="s">
        <v>23</v>
      </c>
      <c r="T12" s="94">
        <v>1</v>
      </c>
      <c r="U12" s="95" t="s">
        <v>15</v>
      </c>
      <c r="V12" s="96" t="s">
        <v>23</v>
      </c>
      <c r="W12" s="97" t="s">
        <v>27</v>
      </c>
      <c r="X12" s="97"/>
      <c r="Y12" s="98"/>
      <c r="Z12" s="99">
        <v>0.6</v>
      </c>
      <c r="AA12" s="100" t="s">
        <v>53</v>
      </c>
      <c r="AB12" s="97">
        <v>4</v>
      </c>
      <c r="AC12" s="97">
        <v>4</v>
      </c>
      <c r="AD12" s="99">
        <v>0.8</v>
      </c>
      <c r="AE12" s="99">
        <v>0.8</v>
      </c>
      <c r="AF12" s="44"/>
    </row>
    <row r="13" spans="1:33" ht="15" customHeight="1" x14ac:dyDescent="0.25">
      <c r="A13" s="76">
        <v>5</v>
      </c>
      <c r="B13" s="77">
        <v>48230913</v>
      </c>
      <c r="C13" s="78" t="s">
        <v>76</v>
      </c>
      <c r="D13" s="79" t="s">
        <v>204</v>
      </c>
      <c r="E13" s="79">
        <v>48230913</v>
      </c>
      <c r="F13" s="80" t="s">
        <v>385</v>
      </c>
      <c r="G13" s="81" t="s">
        <v>29</v>
      </c>
      <c r="H13" s="82" t="s">
        <v>0</v>
      </c>
      <c r="I13" s="83" t="s">
        <v>17</v>
      </c>
      <c r="J13" s="87">
        <v>3</v>
      </c>
      <c r="K13" s="88"/>
      <c r="L13" s="89">
        <v>12</v>
      </c>
      <c r="M13" s="10"/>
      <c r="N13" s="87">
        <v>3</v>
      </c>
      <c r="O13" s="88"/>
      <c r="P13" s="90">
        <v>12</v>
      </c>
      <c r="Q13" s="91">
        <v>12</v>
      </c>
      <c r="R13" s="92">
        <v>60</v>
      </c>
      <c r="S13" s="93" t="s">
        <v>23</v>
      </c>
      <c r="T13" s="94">
        <v>1</v>
      </c>
      <c r="U13" s="95" t="s">
        <v>17</v>
      </c>
      <c r="V13" s="96" t="s">
        <v>23</v>
      </c>
      <c r="W13" s="97" t="s">
        <v>27</v>
      </c>
      <c r="X13" s="97"/>
      <c r="Y13" s="98"/>
      <c r="Z13" s="99">
        <v>0.6</v>
      </c>
      <c r="AA13" s="100" t="s">
        <v>53</v>
      </c>
      <c r="AB13" s="97">
        <v>3</v>
      </c>
      <c r="AC13" s="97">
        <v>3</v>
      </c>
      <c r="AD13" s="99">
        <v>0.6</v>
      </c>
      <c r="AE13" s="99">
        <v>0.6</v>
      </c>
      <c r="AF13" s="44"/>
    </row>
    <row r="14" spans="1:33" ht="15" customHeight="1" x14ac:dyDescent="0.25">
      <c r="A14" s="76">
        <v>6</v>
      </c>
      <c r="B14" s="77">
        <v>60488934</v>
      </c>
      <c r="C14" s="78" t="s">
        <v>77</v>
      </c>
      <c r="D14" s="79" t="s">
        <v>285</v>
      </c>
      <c r="E14" s="79">
        <v>60488934</v>
      </c>
      <c r="F14" s="80" t="s">
        <v>97</v>
      </c>
      <c r="G14" s="81" t="s">
        <v>29</v>
      </c>
      <c r="H14" s="82" t="s">
        <v>12</v>
      </c>
      <c r="I14" s="83" t="s">
        <v>15</v>
      </c>
      <c r="J14" s="87">
        <v>3.5</v>
      </c>
      <c r="K14" s="88"/>
      <c r="L14" s="89">
        <v>14</v>
      </c>
      <c r="M14" s="10"/>
      <c r="N14" s="87">
        <v>3</v>
      </c>
      <c r="O14" s="88"/>
      <c r="P14" s="90">
        <v>12</v>
      </c>
      <c r="Q14" s="91">
        <v>13.33</v>
      </c>
      <c r="R14" s="92">
        <v>66.649999999999991</v>
      </c>
      <c r="S14" s="93" t="s">
        <v>23</v>
      </c>
      <c r="T14" s="94">
        <v>1</v>
      </c>
      <c r="U14" s="95" t="s">
        <v>15</v>
      </c>
      <c r="V14" s="96" t="s">
        <v>23</v>
      </c>
      <c r="W14" s="97" t="s">
        <v>27</v>
      </c>
      <c r="X14" s="97"/>
      <c r="Y14" s="98"/>
      <c r="Z14" s="99">
        <v>0.6</v>
      </c>
      <c r="AA14" s="100" t="s">
        <v>53</v>
      </c>
      <c r="AB14" s="97">
        <v>3</v>
      </c>
      <c r="AC14" s="97">
        <v>4</v>
      </c>
      <c r="AD14" s="99">
        <v>0.6</v>
      </c>
      <c r="AE14" s="99">
        <v>0.8</v>
      </c>
      <c r="AF14" s="44"/>
    </row>
    <row r="15" spans="1:33" ht="15" customHeight="1" x14ac:dyDescent="0.25">
      <c r="A15" s="76">
        <v>7</v>
      </c>
      <c r="B15" s="77">
        <v>60775617</v>
      </c>
      <c r="C15" s="78" t="s">
        <v>76</v>
      </c>
      <c r="D15" s="79" t="s">
        <v>262</v>
      </c>
      <c r="E15" s="79">
        <v>60775617</v>
      </c>
      <c r="F15" s="80" t="s">
        <v>313</v>
      </c>
      <c r="G15" s="81" t="s">
        <v>29</v>
      </c>
      <c r="H15" s="82" t="s">
        <v>12</v>
      </c>
      <c r="I15" s="83" t="s">
        <v>20</v>
      </c>
      <c r="J15" s="87">
        <v>4.5</v>
      </c>
      <c r="K15" s="88"/>
      <c r="L15" s="89">
        <v>18</v>
      </c>
      <c r="M15" s="10"/>
      <c r="N15" s="87">
        <v>4</v>
      </c>
      <c r="O15" s="88"/>
      <c r="P15" s="90">
        <v>16</v>
      </c>
      <c r="Q15" s="91">
        <v>17.329999999999998</v>
      </c>
      <c r="R15" s="92">
        <v>86.649999999999991</v>
      </c>
      <c r="S15" s="93" t="s">
        <v>23</v>
      </c>
      <c r="T15" s="94">
        <v>1</v>
      </c>
      <c r="U15" s="95" t="s">
        <v>20</v>
      </c>
      <c r="V15" s="96" t="s">
        <v>23</v>
      </c>
      <c r="W15" s="97" t="s">
        <v>27</v>
      </c>
      <c r="X15" s="97"/>
      <c r="Y15" s="98"/>
      <c r="Z15" s="99">
        <v>0.8</v>
      </c>
      <c r="AA15" s="100" t="s">
        <v>53</v>
      </c>
      <c r="AB15" s="97">
        <v>4</v>
      </c>
      <c r="AC15" s="97">
        <v>5</v>
      </c>
      <c r="AD15" s="99">
        <v>0.8</v>
      </c>
      <c r="AE15" s="99">
        <v>1</v>
      </c>
      <c r="AF15" s="44"/>
    </row>
    <row r="16" spans="1:33" ht="15" customHeight="1" x14ac:dyDescent="0.25">
      <c r="A16" s="76">
        <v>8</v>
      </c>
      <c r="B16" s="77">
        <v>61006937</v>
      </c>
      <c r="C16" s="78" t="s">
        <v>76</v>
      </c>
      <c r="D16" s="79" t="s">
        <v>212</v>
      </c>
      <c r="E16" s="79">
        <v>61006937</v>
      </c>
      <c r="F16" s="80" t="s">
        <v>90</v>
      </c>
      <c r="G16" s="81" t="s">
        <v>29</v>
      </c>
      <c r="H16" s="82" t="s">
        <v>0</v>
      </c>
      <c r="I16" s="83" t="s">
        <v>18</v>
      </c>
      <c r="J16" s="87">
        <v>4</v>
      </c>
      <c r="K16" s="88"/>
      <c r="L16" s="89">
        <v>16</v>
      </c>
      <c r="M16" s="10"/>
      <c r="N16" s="87">
        <v>3</v>
      </c>
      <c r="O16" s="88"/>
      <c r="P16" s="90">
        <v>12</v>
      </c>
      <c r="Q16" s="91">
        <v>13.33</v>
      </c>
      <c r="R16" s="92">
        <v>66.649999999999991</v>
      </c>
      <c r="S16" s="93" t="s">
        <v>23</v>
      </c>
      <c r="T16" s="94">
        <v>1</v>
      </c>
      <c r="U16" s="95" t="s">
        <v>18</v>
      </c>
      <c r="V16" s="96" t="s">
        <v>23</v>
      </c>
      <c r="W16" s="97" t="s">
        <v>27</v>
      </c>
      <c r="X16" s="97"/>
      <c r="Y16" s="98"/>
      <c r="Z16" s="99">
        <v>0.6</v>
      </c>
      <c r="AA16" s="100" t="s">
        <v>53</v>
      </c>
      <c r="AB16" s="97">
        <v>4</v>
      </c>
      <c r="AC16" s="97">
        <v>4</v>
      </c>
      <c r="AD16" s="99">
        <v>0.8</v>
      </c>
      <c r="AE16" s="99">
        <v>0.8</v>
      </c>
      <c r="AF16" s="44"/>
    </row>
    <row r="17" spans="1:32" ht="15" customHeight="1" x14ac:dyDescent="0.25">
      <c r="A17" s="76">
        <v>9</v>
      </c>
      <c r="B17" s="77">
        <v>70871092</v>
      </c>
      <c r="C17" s="78" t="s">
        <v>76</v>
      </c>
      <c r="D17" s="79" t="s">
        <v>224</v>
      </c>
      <c r="E17" s="79">
        <v>70871092</v>
      </c>
      <c r="F17" s="80" t="s">
        <v>341</v>
      </c>
      <c r="G17" s="81" t="s">
        <v>29</v>
      </c>
      <c r="H17" s="82" t="s">
        <v>12</v>
      </c>
      <c r="I17" s="83" t="s">
        <v>15</v>
      </c>
      <c r="J17" s="87">
        <v>5</v>
      </c>
      <c r="K17" s="88"/>
      <c r="L17" s="89">
        <v>20</v>
      </c>
      <c r="M17" s="10"/>
      <c r="N17" s="87">
        <v>4</v>
      </c>
      <c r="O17" s="88"/>
      <c r="P17" s="90">
        <v>16</v>
      </c>
      <c r="Q17" s="91">
        <v>18.670000000000002</v>
      </c>
      <c r="R17" s="92">
        <v>93.350000000000009</v>
      </c>
      <c r="S17" s="93" t="s">
        <v>23</v>
      </c>
      <c r="T17" s="94">
        <v>1</v>
      </c>
      <c r="U17" s="95" t="s">
        <v>15</v>
      </c>
      <c r="V17" s="96" t="s">
        <v>23</v>
      </c>
      <c r="W17" s="97" t="s">
        <v>27</v>
      </c>
      <c r="X17" s="97"/>
      <c r="Y17" s="98"/>
      <c r="Z17" s="99">
        <v>0.8</v>
      </c>
      <c r="AA17" s="100" t="s">
        <v>53</v>
      </c>
      <c r="AB17" s="97">
        <v>5</v>
      </c>
      <c r="AC17" s="97">
        <v>5</v>
      </c>
      <c r="AD17" s="99">
        <v>1</v>
      </c>
      <c r="AE17" s="99">
        <v>1</v>
      </c>
      <c r="AF17" s="44"/>
    </row>
    <row r="18" spans="1:32" ht="15" customHeight="1" x14ac:dyDescent="0.25">
      <c r="A18" s="76">
        <v>10</v>
      </c>
      <c r="B18" s="77">
        <v>71029337</v>
      </c>
      <c r="C18" s="78" t="s">
        <v>76</v>
      </c>
      <c r="D18" s="79" t="s">
        <v>228</v>
      </c>
      <c r="E18" s="79">
        <v>71029337</v>
      </c>
      <c r="F18" s="80" t="s">
        <v>330</v>
      </c>
      <c r="G18" s="81" t="s">
        <v>29</v>
      </c>
      <c r="H18" s="82" t="s">
        <v>12</v>
      </c>
      <c r="I18" s="83" t="s">
        <v>31</v>
      </c>
      <c r="J18" s="87">
        <v>3.5</v>
      </c>
      <c r="K18" s="88"/>
      <c r="L18" s="89">
        <v>14</v>
      </c>
      <c r="M18" s="10"/>
      <c r="N18" s="87">
        <v>4</v>
      </c>
      <c r="O18" s="88"/>
      <c r="P18" s="90">
        <v>16</v>
      </c>
      <c r="Q18" s="91">
        <v>14.67</v>
      </c>
      <c r="R18" s="92">
        <v>73.350000000000009</v>
      </c>
      <c r="S18" s="93" t="s">
        <v>23</v>
      </c>
      <c r="T18" s="94">
        <v>1</v>
      </c>
      <c r="U18" s="95" t="s">
        <v>31</v>
      </c>
      <c r="V18" s="96" t="s">
        <v>23</v>
      </c>
      <c r="W18" s="97" t="s">
        <v>27</v>
      </c>
      <c r="X18" s="97"/>
      <c r="Y18" s="98"/>
      <c r="Z18" s="99">
        <v>0.8</v>
      </c>
      <c r="AA18" s="100" t="s">
        <v>53</v>
      </c>
      <c r="AB18" s="97">
        <v>4</v>
      </c>
      <c r="AC18" s="97">
        <v>3</v>
      </c>
      <c r="AD18" s="99">
        <v>0.8</v>
      </c>
      <c r="AE18" s="99">
        <v>0.6</v>
      </c>
      <c r="AF18" s="44"/>
    </row>
    <row r="19" spans="1:32" ht="15" customHeight="1" x14ac:dyDescent="0.25">
      <c r="A19" s="76">
        <v>11</v>
      </c>
      <c r="B19" s="77">
        <v>71038463</v>
      </c>
      <c r="C19" s="78" t="s">
        <v>75</v>
      </c>
      <c r="D19" s="79" t="s">
        <v>128</v>
      </c>
      <c r="E19" s="79">
        <v>71038463</v>
      </c>
      <c r="F19" s="80" t="s">
        <v>362</v>
      </c>
      <c r="G19" s="81" t="s">
        <v>29</v>
      </c>
      <c r="H19" s="82" t="s">
        <v>12</v>
      </c>
      <c r="I19" s="83" t="s">
        <v>31</v>
      </c>
      <c r="J19" s="87">
        <v>3.5</v>
      </c>
      <c r="K19" s="88"/>
      <c r="L19" s="89">
        <v>14</v>
      </c>
      <c r="M19" s="10"/>
      <c r="N19" s="87">
        <v>3</v>
      </c>
      <c r="O19" s="88"/>
      <c r="P19" s="90">
        <v>12</v>
      </c>
      <c r="Q19" s="91">
        <v>13.33</v>
      </c>
      <c r="R19" s="92">
        <v>66.649999999999991</v>
      </c>
      <c r="S19" s="93" t="s">
        <v>23</v>
      </c>
      <c r="T19" s="94">
        <v>1</v>
      </c>
      <c r="U19" s="95" t="s">
        <v>31</v>
      </c>
      <c r="V19" s="96" t="s">
        <v>23</v>
      </c>
      <c r="W19" s="97" t="s">
        <v>27</v>
      </c>
      <c r="X19" s="97"/>
      <c r="Y19" s="98"/>
      <c r="Z19" s="99">
        <v>0.6</v>
      </c>
      <c r="AA19" s="100" t="s">
        <v>53</v>
      </c>
      <c r="AB19" s="97">
        <v>3</v>
      </c>
      <c r="AC19" s="97">
        <v>4</v>
      </c>
      <c r="AD19" s="99">
        <v>0.6</v>
      </c>
      <c r="AE19" s="99">
        <v>0.8</v>
      </c>
      <c r="AF19" s="44"/>
    </row>
    <row r="20" spans="1:32" ht="15" customHeight="1" x14ac:dyDescent="0.25">
      <c r="A20" s="76">
        <v>12</v>
      </c>
      <c r="B20" s="77">
        <v>71076623</v>
      </c>
      <c r="C20" s="78" t="s">
        <v>75</v>
      </c>
      <c r="D20" s="79" t="s">
        <v>126</v>
      </c>
      <c r="E20" s="79">
        <v>71076623</v>
      </c>
      <c r="F20" s="80" t="s">
        <v>81</v>
      </c>
      <c r="G20" s="81" t="s">
        <v>29</v>
      </c>
      <c r="H20" s="82" t="s">
        <v>12</v>
      </c>
      <c r="I20" s="83" t="s">
        <v>15</v>
      </c>
      <c r="J20" s="87">
        <v>5</v>
      </c>
      <c r="K20" s="88"/>
      <c r="L20" s="89">
        <v>20</v>
      </c>
      <c r="M20" s="10"/>
      <c r="N20" s="87">
        <v>4</v>
      </c>
      <c r="O20" s="88"/>
      <c r="P20" s="90">
        <v>16</v>
      </c>
      <c r="Q20" s="91">
        <v>18.670000000000002</v>
      </c>
      <c r="R20" s="92">
        <v>93.350000000000009</v>
      </c>
      <c r="S20" s="93" t="s">
        <v>23</v>
      </c>
      <c r="T20" s="94">
        <v>1</v>
      </c>
      <c r="U20" s="95" t="s">
        <v>15</v>
      </c>
      <c r="V20" s="96" t="s">
        <v>23</v>
      </c>
      <c r="W20" s="97" t="s">
        <v>27</v>
      </c>
      <c r="X20" s="97"/>
      <c r="Y20" s="98"/>
      <c r="Z20" s="99">
        <v>0.8</v>
      </c>
      <c r="AA20" s="100" t="s">
        <v>53</v>
      </c>
      <c r="AB20" s="97">
        <v>5</v>
      </c>
      <c r="AC20" s="97">
        <v>5</v>
      </c>
      <c r="AD20" s="99">
        <v>1</v>
      </c>
      <c r="AE20" s="99">
        <v>1</v>
      </c>
      <c r="AF20" s="44"/>
    </row>
    <row r="21" spans="1:32" ht="15" customHeight="1" x14ac:dyDescent="0.25">
      <c r="A21" s="76">
        <v>13</v>
      </c>
      <c r="B21" s="77">
        <v>71084583</v>
      </c>
      <c r="C21" s="78" t="s">
        <v>76</v>
      </c>
      <c r="D21" s="79" t="s">
        <v>258</v>
      </c>
      <c r="E21" s="79">
        <v>71084583</v>
      </c>
      <c r="F21" s="80" t="s">
        <v>370</v>
      </c>
      <c r="G21" s="81" t="s">
        <v>29</v>
      </c>
      <c r="H21" s="82" t="s">
        <v>0</v>
      </c>
      <c r="I21" s="83" t="s">
        <v>18</v>
      </c>
      <c r="J21" s="87">
        <v>3</v>
      </c>
      <c r="K21" s="88"/>
      <c r="L21" s="89">
        <v>12</v>
      </c>
      <c r="M21" s="10"/>
      <c r="N21" s="87">
        <v>3</v>
      </c>
      <c r="O21" s="88"/>
      <c r="P21" s="90">
        <v>12</v>
      </c>
      <c r="Q21" s="91">
        <v>12</v>
      </c>
      <c r="R21" s="92">
        <v>60</v>
      </c>
      <c r="S21" s="93" t="s">
        <v>23</v>
      </c>
      <c r="T21" s="94">
        <v>1</v>
      </c>
      <c r="U21" s="95" t="s">
        <v>18</v>
      </c>
      <c r="V21" s="96" t="s">
        <v>23</v>
      </c>
      <c r="W21" s="97" t="s">
        <v>27</v>
      </c>
      <c r="X21" s="97"/>
      <c r="Y21" s="98"/>
      <c r="Z21" s="99">
        <v>0.6</v>
      </c>
      <c r="AA21" s="100" t="s">
        <v>53</v>
      </c>
      <c r="AB21" s="97">
        <v>3</v>
      </c>
      <c r="AC21" s="97">
        <v>3</v>
      </c>
      <c r="AD21" s="99">
        <v>0.6</v>
      </c>
      <c r="AE21" s="99">
        <v>0.6</v>
      </c>
      <c r="AF21" s="44"/>
    </row>
    <row r="22" spans="1:32" ht="15" customHeight="1" x14ac:dyDescent="0.25">
      <c r="A22" s="76">
        <v>14</v>
      </c>
      <c r="B22" s="77">
        <v>71097212</v>
      </c>
      <c r="C22" s="78" t="s">
        <v>75</v>
      </c>
      <c r="D22" s="79" t="s">
        <v>160</v>
      </c>
      <c r="E22" s="79">
        <v>71097212</v>
      </c>
      <c r="F22" s="80" t="s">
        <v>380</v>
      </c>
      <c r="G22" s="81" t="s">
        <v>29</v>
      </c>
      <c r="H22" s="82" t="s">
        <v>0</v>
      </c>
      <c r="I22" s="83" t="s">
        <v>18</v>
      </c>
      <c r="J22" s="87">
        <v>3</v>
      </c>
      <c r="K22" s="88"/>
      <c r="L22" s="89">
        <v>12</v>
      </c>
      <c r="M22" s="10"/>
      <c r="N22" s="87">
        <v>3</v>
      </c>
      <c r="O22" s="88"/>
      <c r="P22" s="90">
        <v>12</v>
      </c>
      <c r="Q22" s="91">
        <v>12</v>
      </c>
      <c r="R22" s="92">
        <v>60</v>
      </c>
      <c r="S22" s="93" t="s">
        <v>23</v>
      </c>
      <c r="T22" s="94">
        <v>1</v>
      </c>
      <c r="U22" s="95" t="s">
        <v>18</v>
      </c>
      <c r="V22" s="96" t="s">
        <v>23</v>
      </c>
      <c r="W22" s="97" t="s">
        <v>27</v>
      </c>
      <c r="X22" s="97"/>
      <c r="Y22" s="98"/>
      <c r="Z22" s="99">
        <v>0.6</v>
      </c>
      <c r="AA22" s="100" t="s">
        <v>53</v>
      </c>
      <c r="AB22" s="97">
        <v>3</v>
      </c>
      <c r="AC22" s="97">
        <v>3</v>
      </c>
      <c r="AD22" s="99">
        <v>0.6</v>
      </c>
      <c r="AE22" s="99">
        <v>0.6</v>
      </c>
      <c r="AF22" s="44"/>
    </row>
    <row r="23" spans="1:32" ht="15" customHeight="1" x14ac:dyDescent="0.25">
      <c r="A23" s="76">
        <v>15</v>
      </c>
      <c r="B23" s="77">
        <v>71117779</v>
      </c>
      <c r="C23" s="78" t="s">
        <v>76</v>
      </c>
      <c r="D23" s="79" t="s">
        <v>196</v>
      </c>
      <c r="E23" s="79">
        <v>71117779</v>
      </c>
      <c r="F23" s="80" t="s">
        <v>348</v>
      </c>
      <c r="G23" s="81" t="s">
        <v>29</v>
      </c>
      <c r="H23" s="82" t="s">
        <v>0</v>
      </c>
      <c r="I23" s="83" t="s">
        <v>11</v>
      </c>
      <c r="J23" s="87">
        <v>3.5</v>
      </c>
      <c r="K23" s="88"/>
      <c r="L23" s="89">
        <v>14</v>
      </c>
      <c r="M23" s="10"/>
      <c r="N23" s="87">
        <v>4</v>
      </c>
      <c r="O23" s="88"/>
      <c r="P23" s="90">
        <v>16</v>
      </c>
      <c r="Q23" s="91">
        <v>15.33</v>
      </c>
      <c r="R23" s="92">
        <v>76.649999999999991</v>
      </c>
      <c r="S23" s="93" t="s">
        <v>23</v>
      </c>
      <c r="T23" s="94">
        <v>1</v>
      </c>
      <c r="U23" s="95" t="s">
        <v>11</v>
      </c>
      <c r="V23" s="96" t="s">
        <v>23</v>
      </c>
      <c r="W23" s="97" t="s">
        <v>27</v>
      </c>
      <c r="X23" s="97"/>
      <c r="Y23" s="98"/>
      <c r="Z23" s="99">
        <v>0.8</v>
      </c>
      <c r="AA23" s="100" t="s">
        <v>53</v>
      </c>
      <c r="AB23" s="97">
        <v>4</v>
      </c>
      <c r="AC23" s="97">
        <v>3</v>
      </c>
      <c r="AD23" s="99">
        <v>0.8</v>
      </c>
      <c r="AE23" s="99">
        <v>0.6</v>
      </c>
      <c r="AF23" s="44"/>
    </row>
    <row r="24" spans="1:32" ht="15" customHeight="1" x14ac:dyDescent="0.25">
      <c r="A24" s="76">
        <v>16</v>
      </c>
      <c r="B24" s="77">
        <v>71131379</v>
      </c>
      <c r="C24" s="78" t="s">
        <v>76</v>
      </c>
      <c r="D24" s="79" t="s">
        <v>194</v>
      </c>
      <c r="E24" s="79">
        <v>71131379</v>
      </c>
      <c r="F24" s="80" t="s">
        <v>316</v>
      </c>
      <c r="G24" s="81" t="s">
        <v>29</v>
      </c>
      <c r="H24" s="82" t="s">
        <v>12</v>
      </c>
      <c r="I24" s="83" t="s">
        <v>13</v>
      </c>
      <c r="J24" s="87">
        <v>5</v>
      </c>
      <c r="K24" s="88"/>
      <c r="L24" s="89">
        <v>20</v>
      </c>
      <c r="M24" s="10"/>
      <c r="N24" s="87">
        <v>4</v>
      </c>
      <c r="O24" s="88"/>
      <c r="P24" s="90">
        <v>16</v>
      </c>
      <c r="Q24" s="91">
        <v>18.670000000000002</v>
      </c>
      <c r="R24" s="92">
        <v>93.350000000000009</v>
      </c>
      <c r="S24" s="93" t="s">
        <v>23</v>
      </c>
      <c r="T24" s="94">
        <v>1</v>
      </c>
      <c r="U24" s="95" t="s">
        <v>13</v>
      </c>
      <c r="V24" s="96" t="s">
        <v>23</v>
      </c>
      <c r="W24" s="97" t="s">
        <v>27</v>
      </c>
      <c r="X24" s="97"/>
      <c r="Y24" s="98"/>
      <c r="Z24" s="99">
        <v>0.8</v>
      </c>
      <c r="AA24" s="100" t="s">
        <v>53</v>
      </c>
      <c r="AB24" s="97">
        <v>5</v>
      </c>
      <c r="AC24" s="97">
        <v>5</v>
      </c>
      <c r="AD24" s="99">
        <v>1</v>
      </c>
      <c r="AE24" s="99">
        <v>1</v>
      </c>
      <c r="AF24" s="44"/>
    </row>
    <row r="25" spans="1:32" ht="15" customHeight="1" x14ac:dyDescent="0.25">
      <c r="A25" s="76">
        <v>17</v>
      </c>
      <c r="B25" s="77">
        <v>71313420</v>
      </c>
      <c r="C25" s="78" t="s">
        <v>75</v>
      </c>
      <c r="D25" s="79" t="s">
        <v>169</v>
      </c>
      <c r="E25" s="79">
        <v>71313420</v>
      </c>
      <c r="F25" s="80" t="s">
        <v>361</v>
      </c>
      <c r="G25" s="81" t="s">
        <v>29</v>
      </c>
      <c r="H25" s="82" t="s">
        <v>0</v>
      </c>
      <c r="I25" s="83" t="s">
        <v>18</v>
      </c>
      <c r="J25" s="87">
        <v>3.5</v>
      </c>
      <c r="K25" s="88"/>
      <c r="L25" s="89">
        <v>14</v>
      </c>
      <c r="M25" s="10"/>
      <c r="N25" s="87">
        <v>4</v>
      </c>
      <c r="O25" s="88"/>
      <c r="P25" s="90">
        <v>16</v>
      </c>
      <c r="Q25" s="91">
        <v>15.33</v>
      </c>
      <c r="R25" s="92">
        <v>76.649999999999991</v>
      </c>
      <c r="S25" s="93" t="s">
        <v>23</v>
      </c>
      <c r="T25" s="94">
        <v>1</v>
      </c>
      <c r="U25" s="95" t="s">
        <v>18</v>
      </c>
      <c r="V25" s="96" t="s">
        <v>23</v>
      </c>
      <c r="W25" s="97" t="s">
        <v>27</v>
      </c>
      <c r="X25" s="97"/>
      <c r="Y25" s="98"/>
      <c r="Z25" s="99">
        <v>0.8</v>
      </c>
      <c r="AA25" s="100" t="s">
        <v>53</v>
      </c>
      <c r="AB25" s="97">
        <v>3</v>
      </c>
      <c r="AC25" s="97">
        <v>4</v>
      </c>
      <c r="AD25" s="99">
        <v>0.6</v>
      </c>
      <c r="AE25" s="99">
        <v>0.8</v>
      </c>
      <c r="AF25" s="44"/>
    </row>
    <row r="26" spans="1:32" ht="15" customHeight="1" x14ac:dyDescent="0.25">
      <c r="A26" s="76">
        <v>18</v>
      </c>
      <c r="B26" s="77">
        <v>71313462</v>
      </c>
      <c r="C26" s="78" t="s">
        <v>75</v>
      </c>
      <c r="D26" s="79" t="s">
        <v>114</v>
      </c>
      <c r="E26" s="79">
        <v>71313462</v>
      </c>
      <c r="F26" s="80" t="s">
        <v>60</v>
      </c>
      <c r="G26" s="81" t="s">
        <v>29</v>
      </c>
      <c r="H26" s="82" t="s">
        <v>0</v>
      </c>
      <c r="I26" s="83" t="s">
        <v>11</v>
      </c>
      <c r="J26" s="87">
        <v>2.5</v>
      </c>
      <c r="K26" s="88"/>
      <c r="L26" s="89">
        <v>10</v>
      </c>
      <c r="M26" s="10"/>
      <c r="N26" s="87">
        <v>5</v>
      </c>
      <c r="O26" s="88"/>
      <c r="P26" s="90">
        <v>20</v>
      </c>
      <c r="Q26" s="91">
        <v>16.670000000000002</v>
      </c>
      <c r="R26" s="92">
        <v>83.350000000000009</v>
      </c>
      <c r="S26" s="93" t="s">
        <v>23</v>
      </c>
      <c r="T26" s="94">
        <v>1</v>
      </c>
      <c r="U26" s="95" t="s">
        <v>11</v>
      </c>
      <c r="V26" s="96" t="s">
        <v>23</v>
      </c>
      <c r="W26" s="97" t="s">
        <v>26</v>
      </c>
      <c r="X26" s="97"/>
      <c r="Y26" s="98"/>
      <c r="Z26" s="99">
        <v>1</v>
      </c>
      <c r="AA26" s="100" t="s">
        <v>318</v>
      </c>
      <c r="AB26" s="97">
        <v>3</v>
      </c>
      <c r="AC26" s="97">
        <v>2</v>
      </c>
      <c r="AD26" s="99">
        <v>0.6</v>
      </c>
      <c r="AE26" s="99">
        <v>0.4</v>
      </c>
      <c r="AF26" s="44"/>
    </row>
    <row r="27" spans="1:32" ht="15" customHeight="1" x14ac:dyDescent="0.25">
      <c r="A27" s="76">
        <v>19</v>
      </c>
      <c r="B27" s="77">
        <v>71436029</v>
      </c>
      <c r="C27" s="78" t="s">
        <v>75</v>
      </c>
      <c r="D27" s="79" t="s">
        <v>100</v>
      </c>
      <c r="E27" s="79">
        <v>71436029</v>
      </c>
      <c r="F27" s="80" t="s">
        <v>328</v>
      </c>
      <c r="G27" s="81" t="s">
        <v>29</v>
      </c>
      <c r="H27" s="82" t="s">
        <v>0</v>
      </c>
      <c r="I27" s="83" t="s">
        <v>18</v>
      </c>
      <c r="J27" s="87">
        <v>4</v>
      </c>
      <c r="K27" s="88"/>
      <c r="L27" s="89">
        <v>16</v>
      </c>
      <c r="M27" s="10"/>
      <c r="N27" s="87">
        <v>3</v>
      </c>
      <c r="O27" s="88"/>
      <c r="P27" s="90">
        <v>12</v>
      </c>
      <c r="Q27" s="91">
        <v>13.33</v>
      </c>
      <c r="R27" s="92">
        <v>66.649999999999991</v>
      </c>
      <c r="S27" s="93" t="s">
        <v>23</v>
      </c>
      <c r="T27" s="94">
        <v>1</v>
      </c>
      <c r="U27" s="95" t="s">
        <v>18</v>
      </c>
      <c r="V27" s="96" t="s">
        <v>23</v>
      </c>
      <c r="W27" s="97" t="s">
        <v>27</v>
      </c>
      <c r="X27" s="97"/>
      <c r="Y27" s="98"/>
      <c r="Z27" s="99">
        <v>0.6</v>
      </c>
      <c r="AA27" s="100" t="s">
        <v>53</v>
      </c>
      <c r="AB27" s="97">
        <v>4</v>
      </c>
      <c r="AC27" s="97">
        <v>4</v>
      </c>
      <c r="AD27" s="99">
        <v>0.8</v>
      </c>
      <c r="AE27" s="99">
        <v>0.8</v>
      </c>
      <c r="AF27" s="44"/>
    </row>
  </sheetData>
  <sheetProtection autoFilter="0"/>
  <autoFilter ref="A8:AE27" xr:uid="{00000000-0009-0000-0000-000005000000}"/>
  <mergeCells count="4">
    <mergeCell ref="J2:L5"/>
    <mergeCell ref="N2:P5"/>
    <mergeCell ref="U2:U3"/>
    <mergeCell ref="Q5:S5"/>
  </mergeCells>
  <conditionalFormatting sqref="L9:L27">
    <cfRule type="expression" dxfId="21" priority="5">
      <formula>L9=""</formula>
    </cfRule>
    <cfRule type="expression" dxfId="20" priority="6">
      <formula>L9&lt;&gt;""</formula>
    </cfRule>
  </conditionalFormatting>
  <conditionalFormatting sqref="J9:J27 N9:N27">
    <cfRule type="expression" dxfId="19" priority="4">
      <formula>J9=""</formula>
    </cfRule>
    <cfRule type="expression" dxfId="18" priority="7">
      <formula>J9&lt;&gt;""</formula>
    </cfRule>
  </conditionalFormatting>
  <conditionalFormatting sqref="K9:K27 O9:O27">
    <cfRule type="expression" dxfId="17" priority="2">
      <formula>K9=""</formula>
    </cfRule>
    <cfRule type="expression" dxfId="16" priority="3">
      <formula>K9&lt;&gt;""</formula>
    </cfRule>
  </conditionalFormatting>
  <conditionalFormatting sqref="C9:I27">
    <cfRule type="expression" dxfId="15" priority="1513">
      <formula>OR(#REF!="IMCOMPLETA", $X9="NO APTO")</formula>
    </cfRule>
    <cfRule type="expression" dxfId="14" priority="1514">
      <formula>$U9="NO INGRESANTE"</formula>
    </cfRule>
    <cfRule type="expression" dxfId="13" priority="1515">
      <formula>$U9="INGRESANTE"</formula>
    </cfRule>
  </conditionalFormatting>
  <conditionalFormatting sqref="Z9:Z27">
    <cfRule type="colorScale" priority="1617">
      <colorScale>
        <cfvo type="percent" val="0"/>
        <cfvo type="percent" val="40"/>
        <cfvo type="percent" val="100"/>
        <color rgb="FFF8696B"/>
        <color rgb="FFFFEB84"/>
        <color rgb="FF63BE7B"/>
      </colorScale>
    </cfRule>
  </conditionalFormatting>
  <conditionalFormatting sqref="AA9:AA27">
    <cfRule type="colorScale" priority="1618">
      <colorScale>
        <cfvo type="percent" val="0"/>
        <cfvo type="percent" val="40"/>
        <cfvo type="percent" val="100"/>
        <color rgb="FFF8696B"/>
        <color rgb="FFFFEB84"/>
        <color rgb="FF63BE7B"/>
      </colorScale>
    </cfRule>
  </conditionalFormatting>
  <conditionalFormatting sqref="AD9:AE27">
    <cfRule type="colorScale" priority="1619">
      <colorScale>
        <cfvo type="percent" val="0"/>
        <cfvo type="percent" val="40"/>
        <cfvo type="percent" val="10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scale="10" fitToHeight="0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rgb="FF7030A0"/>
    <pageSetUpPr fitToPage="1"/>
  </sheetPr>
  <dimension ref="A1:CG27"/>
  <sheetViews>
    <sheetView topLeftCell="BU1" zoomScale="90" zoomScaleNormal="90" workbookViewId="0">
      <selection activeCell="CD9" sqref="CD9:CD22"/>
    </sheetView>
  </sheetViews>
  <sheetFormatPr baseColWidth="10" defaultRowHeight="15" x14ac:dyDescent="0.25"/>
  <cols>
    <col min="1" max="1" width="5.42578125" style="1" customWidth="1"/>
    <col min="2" max="2" width="14.140625" style="101" bestFit="1" customWidth="1"/>
    <col min="3" max="3" width="29" style="1" bestFit="1" customWidth="1"/>
    <col min="4" max="4" width="15.5703125" style="1" customWidth="1"/>
    <col min="5" max="5" width="11.28515625" style="1" customWidth="1"/>
    <col min="6" max="6" width="37.28515625" style="1" bestFit="1" customWidth="1"/>
    <col min="7" max="7" width="19.28515625" style="1" customWidth="1"/>
    <col min="8" max="8" width="10" style="1" customWidth="1"/>
    <col min="9" max="9" width="31.28515625" style="1" bestFit="1" customWidth="1"/>
    <col min="10" max="34" width="5.7109375" style="1" customWidth="1"/>
    <col min="35" max="35" width="0.85546875" style="1" customWidth="1"/>
    <col min="36" max="36" width="13.28515625" style="1" customWidth="1"/>
    <col min="37" max="37" width="8.140625" style="1" customWidth="1"/>
    <col min="38" max="38" width="6.5703125" style="1" customWidth="1"/>
    <col min="39" max="39" width="0.7109375" style="1" customWidth="1"/>
    <col min="40" max="64" width="5.7109375" style="1" customWidth="1"/>
    <col min="65" max="65" width="0.85546875" style="1" customWidth="1"/>
    <col min="66" max="66" width="11.140625" style="1" customWidth="1"/>
    <col min="67" max="67" width="7.42578125" style="1" customWidth="1"/>
    <col min="68" max="68" width="9.28515625" style="1" customWidth="1"/>
    <col min="69" max="69" width="14.42578125" style="1" customWidth="1"/>
    <col min="70" max="70" width="15.140625" style="1" customWidth="1"/>
    <col min="71" max="71" width="23.7109375" style="1" bestFit="1" customWidth="1"/>
    <col min="72" max="72" width="5.140625" style="3" customWidth="1"/>
    <col min="73" max="73" width="19.85546875" style="1" customWidth="1"/>
    <col min="74" max="74" width="43.140625" style="1" bestFit="1" customWidth="1"/>
    <col min="75" max="75" width="15.42578125" style="12" customWidth="1"/>
    <col min="76" max="76" width="4.42578125" style="12" bestFit="1" customWidth="1"/>
    <col min="77" max="77" width="1.140625" style="15" customWidth="1"/>
    <col min="78" max="78" width="15.42578125" style="12" customWidth="1"/>
    <col min="79" max="79" width="63.42578125" style="12" bestFit="1" customWidth="1"/>
    <col min="80" max="83" width="15.42578125" style="12" customWidth="1"/>
    <col min="84" max="84" width="5.140625" style="1" customWidth="1"/>
    <col min="85" max="85" width="11.42578125" style="1" customWidth="1"/>
    <col min="86" max="86" width="11.85546875" style="1" bestFit="1" customWidth="1"/>
    <col min="87" max="16384" width="11.42578125" style="1"/>
  </cols>
  <sheetData>
    <row r="1" spans="1:85" ht="15.75" thickBot="1" x14ac:dyDescent="0.3">
      <c r="B1" s="3"/>
      <c r="F1" s="3"/>
      <c r="H1" s="3"/>
      <c r="K1" s="3"/>
      <c r="M1" s="3"/>
      <c r="O1" s="3"/>
      <c r="Q1" s="3"/>
      <c r="S1" s="3"/>
      <c r="U1" s="3"/>
      <c r="W1" s="3"/>
      <c r="Y1" s="3"/>
      <c r="AA1" s="3"/>
      <c r="AC1" s="3"/>
      <c r="AE1" s="3"/>
      <c r="AG1" s="3"/>
      <c r="AI1" s="3"/>
      <c r="AK1" s="3"/>
      <c r="AM1" s="3"/>
      <c r="AO1" s="3"/>
      <c r="AQ1" s="3"/>
      <c r="AS1" s="3"/>
      <c r="AU1" s="3"/>
      <c r="AW1" s="3"/>
      <c r="AY1" s="3"/>
      <c r="BA1" s="3"/>
      <c r="BC1" s="3"/>
      <c r="BE1" s="3"/>
      <c r="BG1" s="3"/>
      <c r="BI1" s="3"/>
      <c r="BK1" s="3"/>
      <c r="BM1" s="3"/>
      <c r="BO1" s="3"/>
      <c r="BQ1" s="3"/>
      <c r="BR1" s="3"/>
      <c r="BT1" s="1"/>
      <c r="BU1" s="3"/>
      <c r="BW1" s="3"/>
      <c r="BX1" s="1"/>
      <c r="BY1" s="3"/>
      <c r="BZ1" s="3"/>
      <c r="CA1" s="3"/>
      <c r="CB1" s="1"/>
      <c r="CC1" s="1"/>
      <c r="CD1" s="3"/>
      <c r="CE1" s="1"/>
    </row>
    <row r="2" spans="1:85" ht="34.5" thickBot="1" x14ac:dyDescent="0.3">
      <c r="A2" s="4" t="s">
        <v>51</v>
      </c>
      <c r="B2" s="5"/>
      <c r="C2" s="6"/>
      <c r="D2" s="6"/>
      <c r="E2" s="6"/>
      <c r="F2" s="6"/>
      <c r="G2" s="6"/>
      <c r="H2" s="6"/>
      <c r="I2" s="7" t="s">
        <v>295</v>
      </c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9"/>
      <c r="AI2" s="10"/>
      <c r="AJ2" s="288" t="s">
        <v>44</v>
      </c>
      <c r="AK2" s="289"/>
      <c r="AL2" s="290"/>
      <c r="AM2" s="10"/>
      <c r="AN2" s="11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9"/>
      <c r="BM2" s="10"/>
      <c r="BN2" s="297" t="s">
        <v>43</v>
      </c>
      <c r="BO2" s="298"/>
      <c r="BP2" s="299"/>
      <c r="BQ2" s="10"/>
      <c r="BR2" s="10"/>
      <c r="BS2" s="10"/>
      <c r="BT2" s="13"/>
      <c r="BU2" s="305" t="s">
        <v>30</v>
      </c>
      <c r="BV2" s="14" t="s">
        <v>23</v>
      </c>
      <c r="BW2" s="195">
        <v>77</v>
      </c>
      <c r="BX2" s="27"/>
      <c r="CA2" s="26"/>
      <c r="CB2" s="103" t="s">
        <v>57</v>
      </c>
      <c r="CC2" s="103" t="s">
        <v>58</v>
      </c>
      <c r="CF2" s="16"/>
    </row>
    <row r="3" spans="1:85" ht="18.75" thickBot="1" x14ac:dyDescent="0.3">
      <c r="A3" s="17"/>
      <c r="B3" s="18" t="s">
        <v>295</v>
      </c>
      <c r="C3" s="19"/>
      <c r="D3" s="19"/>
      <c r="E3" s="19"/>
      <c r="F3" s="19"/>
      <c r="G3" s="19"/>
      <c r="H3" s="19"/>
      <c r="I3" s="20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2"/>
      <c r="AI3" s="10"/>
      <c r="AJ3" s="291"/>
      <c r="AK3" s="292"/>
      <c r="AL3" s="293"/>
      <c r="AM3" s="10"/>
      <c r="AN3" s="23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2"/>
      <c r="BM3" s="10"/>
      <c r="BN3" s="300"/>
      <c r="BO3" s="301"/>
      <c r="BP3" s="302"/>
      <c r="BQ3" s="10"/>
      <c r="BR3" s="10"/>
      <c r="BS3" s="10"/>
      <c r="BT3" s="13"/>
      <c r="BU3" s="284"/>
      <c r="BV3" s="196" t="s">
        <v>55</v>
      </c>
      <c r="BW3" s="197">
        <v>26</v>
      </c>
      <c r="BX3" s="198">
        <v>103</v>
      </c>
      <c r="BY3" s="25"/>
      <c r="BZ3" s="26"/>
      <c r="CA3" s="104" t="s">
        <v>59</v>
      </c>
      <c r="CB3" s="102">
        <v>15</v>
      </c>
      <c r="CC3" s="102">
        <v>10</v>
      </c>
      <c r="CE3" s="26"/>
      <c r="CF3" s="16"/>
    </row>
    <row r="4" spans="1:85" ht="18.75" thickBot="1" x14ac:dyDescent="0.3">
      <c r="A4" s="17"/>
      <c r="B4" s="18" t="s">
        <v>98</v>
      </c>
      <c r="C4" s="19"/>
      <c r="D4" s="19"/>
      <c r="E4" s="19"/>
      <c r="F4" s="19"/>
      <c r="G4" s="19"/>
      <c r="H4" s="19"/>
      <c r="I4" s="20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2"/>
      <c r="AI4" s="10"/>
      <c r="AJ4" s="291"/>
      <c r="AK4" s="292"/>
      <c r="AL4" s="293"/>
      <c r="AM4" s="10"/>
      <c r="AN4" s="23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2"/>
      <c r="BM4" s="10"/>
      <c r="BN4" s="300"/>
      <c r="BO4" s="301"/>
      <c r="BP4" s="302"/>
      <c r="BQ4" s="10"/>
      <c r="BR4" s="10"/>
      <c r="BS4" s="10"/>
      <c r="BT4" s="13"/>
      <c r="CF4" s="16"/>
    </row>
    <row r="5" spans="1:85" ht="18.75" thickBot="1" x14ac:dyDescent="0.3">
      <c r="A5" s="17"/>
      <c r="B5" s="18"/>
      <c r="C5" s="19"/>
      <c r="D5" s="19"/>
      <c r="E5" s="19"/>
      <c r="F5" s="19"/>
      <c r="G5" s="19"/>
      <c r="H5" s="19"/>
      <c r="I5" s="20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30"/>
      <c r="AI5" s="10"/>
      <c r="AJ5" s="294"/>
      <c r="AK5" s="295"/>
      <c r="AL5" s="296"/>
      <c r="AM5" s="10"/>
      <c r="AN5" s="28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30"/>
      <c r="BM5" s="10"/>
      <c r="BN5" s="303"/>
      <c r="BO5" s="304"/>
      <c r="BP5" s="304"/>
      <c r="BQ5" s="205" t="s">
        <v>33</v>
      </c>
      <c r="BR5" s="206"/>
      <c r="BS5" s="10"/>
      <c r="BT5" s="13"/>
      <c r="BY5" s="25"/>
      <c r="BZ5" s="26"/>
      <c r="CB5" s="210" t="s">
        <v>425</v>
      </c>
      <c r="CF5" s="16"/>
    </row>
    <row r="6" spans="1:85" ht="18.75" thickBot="1" x14ac:dyDescent="0.3">
      <c r="A6" s="32"/>
      <c r="B6" s="33"/>
      <c r="C6" s="34"/>
      <c r="D6" s="34"/>
      <c r="E6" s="34"/>
      <c r="F6" s="34"/>
      <c r="G6" s="19"/>
      <c r="H6" s="19"/>
      <c r="I6" s="34"/>
      <c r="J6" s="45">
        <v>1</v>
      </c>
      <c r="K6" s="45">
        <v>1</v>
      </c>
      <c r="L6" s="45">
        <v>1</v>
      </c>
      <c r="M6" s="45">
        <v>1</v>
      </c>
      <c r="N6" s="45">
        <v>1</v>
      </c>
      <c r="O6" s="45">
        <v>1</v>
      </c>
      <c r="P6" s="45">
        <v>1</v>
      </c>
      <c r="Q6" s="45">
        <v>1</v>
      </c>
      <c r="R6" s="45">
        <v>1</v>
      </c>
      <c r="S6" s="45">
        <v>1</v>
      </c>
      <c r="T6" s="45">
        <v>1</v>
      </c>
      <c r="U6" s="45">
        <v>1</v>
      </c>
      <c r="V6" s="45">
        <v>1</v>
      </c>
      <c r="W6" s="45">
        <v>1</v>
      </c>
      <c r="X6" s="45">
        <v>1</v>
      </c>
      <c r="Y6" s="45">
        <v>1</v>
      </c>
      <c r="Z6" s="45">
        <v>1</v>
      </c>
      <c r="AA6" s="45">
        <v>1</v>
      </c>
      <c r="AB6" s="45">
        <v>1</v>
      </c>
      <c r="AC6" s="45">
        <v>1</v>
      </c>
      <c r="AD6" s="45">
        <v>1</v>
      </c>
      <c r="AE6" s="45">
        <v>1</v>
      </c>
      <c r="AF6" s="45">
        <v>1</v>
      </c>
      <c r="AG6" s="45">
        <v>1</v>
      </c>
      <c r="AH6" s="45">
        <v>1</v>
      </c>
      <c r="AI6" s="10"/>
      <c r="AJ6" s="36">
        <f>SUM(J6:AH6)</f>
        <v>25</v>
      </c>
      <c r="AK6" s="37" t="s">
        <v>46</v>
      </c>
      <c r="AL6" s="38">
        <v>3.2</v>
      </c>
      <c r="AM6" s="10"/>
      <c r="AN6" s="45">
        <v>1</v>
      </c>
      <c r="AO6" s="45">
        <v>1</v>
      </c>
      <c r="AP6" s="45">
        <v>1</v>
      </c>
      <c r="AQ6" s="45">
        <v>1</v>
      </c>
      <c r="AR6" s="45">
        <v>1</v>
      </c>
      <c r="AS6" s="45">
        <v>1</v>
      </c>
      <c r="AT6" s="45">
        <v>1</v>
      </c>
      <c r="AU6" s="45">
        <v>1</v>
      </c>
      <c r="AV6" s="45">
        <v>1</v>
      </c>
      <c r="AW6" s="45">
        <v>1</v>
      </c>
      <c r="AX6" s="45">
        <v>1</v>
      </c>
      <c r="AY6" s="45">
        <v>1</v>
      </c>
      <c r="AZ6" s="45">
        <v>1</v>
      </c>
      <c r="BA6" s="45">
        <v>1</v>
      </c>
      <c r="BB6" s="45">
        <v>1</v>
      </c>
      <c r="BC6" s="45">
        <v>1</v>
      </c>
      <c r="BD6" s="45">
        <v>1</v>
      </c>
      <c r="BE6" s="45">
        <v>1</v>
      </c>
      <c r="BF6" s="45">
        <v>1</v>
      </c>
      <c r="BG6" s="45">
        <v>1</v>
      </c>
      <c r="BH6" s="45">
        <v>1</v>
      </c>
      <c r="BI6" s="45">
        <v>1</v>
      </c>
      <c r="BJ6" s="45">
        <v>1</v>
      </c>
      <c r="BK6" s="45">
        <v>1</v>
      </c>
      <c r="BL6" s="45">
        <v>1</v>
      </c>
      <c r="BM6" s="10"/>
      <c r="BN6" s="36">
        <f>SUM(AN6:BL6)</f>
        <v>25</v>
      </c>
      <c r="BO6" s="190" t="s">
        <v>46</v>
      </c>
      <c r="BP6" s="39">
        <v>0.8</v>
      </c>
      <c r="BQ6" s="191">
        <v>3.2</v>
      </c>
      <c r="BR6" s="192">
        <v>16</v>
      </c>
      <c r="BS6" s="10"/>
      <c r="BT6" s="13"/>
      <c r="BU6" s="13"/>
      <c r="BV6" s="13"/>
      <c r="BW6" s="13"/>
      <c r="BX6" s="13"/>
      <c r="BY6" s="42"/>
      <c r="BZ6" s="43"/>
      <c r="CB6" s="210" t="s">
        <v>426</v>
      </c>
      <c r="CF6" s="10"/>
      <c r="CG6" s="44"/>
    </row>
    <row r="7" spans="1:85" ht="18.75" thickBot="1" x14ac:dyDescent="0.3">
      <c r="A7" s="32"/>
      <c r="B7" s="33"/>
      <c r="C7" s="34"/>
      <c r="D7" s="34"/>
      <c r="E7" s="34"/>
      <c r="F7" s="34"/>
      <c r="G7" s="34"/>
      <c r="H7" s="34"/>
      <c r="I7" s="34"/>
      <c r="J7" s="199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200"/>
      <c r="Z7" s="200"/>
      <c r="AA7" s="200"/>
      <c r="AB7" s="200"/>
      <c r="AC7" s="200"/>
      <c r="AD7" s="200"/>
      <c r="AE7" s="200"/>
      <c r="AF7" s="200"/>
      <c r="AG7" s="200"/>
      <c r="AH7" s="201"/>
      <c r="AI7" s="10"/>
      <c r="AJ7" s="36">
        <v>0</v>
      </c>
      <c r="AK7" s="37" t="s">
        <v>47</v>
      </c>
      <c r="AL7" s="38">
        <v>18.399999999999999</v>
      </c>
      <c r="AM7" s="10"/>
      <c r="AN7" s="199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1"/>
      <c r="BM7" s="10"/>
      <c r="BN7" s="36">
        <v>0</v>
      </c>
      <c r="BO7" s="190" t="s">
        <v>47</v>
      </c>
      <c r="BP7" s="39">
        <v>19.2</v>
      </c>
      <c r="BQ7" s="191">
        <v>17.07</v>
      </c>
      <c r="BR7" s="192">
        <v>85.350000000000009</v>
      </c>
      <c r="BS7" s="207" t="s">
        <v>423</v>
      </c>
      <c r="BT7" s="13"/>
      <c r="BU7" s="13"/>
      <c r="BV7" s="207" t="s">
        <v>422</v>
      </c>
      <c r="BW7" s="208" t="s">
        <v>424</v>
      </c>
      <c r="BX7" s="13"/>
      <c r="BY7" s="50"/>
      <c r="BZ7" s="51"/>
      <c r="CA7" s="51"/>
      <c r="CB7" s="51"/>
      <c r="CC7" s="51"/>
      <c r="CD7" s="51"/>
      <c r="CE7" s="51"/>
      <c r="CF7" s="10"/>
      <c r="CG7" s="44"/>
    </row>
    <row r="8" spans="1:85" ht="15.75" thickBot="1" x14ac:dyDescent="0.3">
      <c r="A8" s="52" t="s">
        <v>2</v>
      </c>
      <c r="B8" s="53" t="s">
        <v>21</v>
      </c>
      <c r="C8" s="54" t="s">
        <v>25</v>
      </c>
      <c r="D8" s="54" t="s">
        <v>4</v>
      </c>
      <c r="E8" s="54" t="s">
        <v>3</v>
      </c>
      <c r="F8" s="55" t="s">
        <v>5</v>
      </c>
      <c r="G8" s="55" t="s">
        <v>54</v>
      </c>
      <c r="H8" s="56" t="s">
        <v>22</v>
      </c>
      <c r="I8" s="57" t="s">
        <v>6</v>
      </c>
      <c r="J8" s="58">
        <v>1</v>
      </c>
      <c r="K8" s="59">
        <v>2</v>
      </c>
      <c r="L8" s="58">
        <v>3</v>
      </c>
      <c r="M8" s="59">
        <v>4</v>
      </c>
      <c r="N8" s="58">
        <v>5</v>
      </c>
      <c r="O8" s="59">
        <v>6</v>
      </c>
      <c r="P8" s="58">
        <v>7</v>
      </c>
      <c r="Q8" s="59">
        <v>8</v>
      </c>
      <c r="R8" s="58">
        <v>9</v>
      </c>
      <c r="S8" s="59">
        <v>10</v>
      </c>
      <c r="T8" s="58">
        <v>11</v>
      </c>
      <c r="U8" s="59">
        <v>12</v>
      </c>
      <c r="V8" s="58">
        <v>13</v>
      </c>
      <c r="W8" s="59">
        <v>14</v>
      </c>
      <c r="X8" s="58">
        <v>15</v>
      </c>
      <c r="Y8" s="59">
        <v>16</v>
      </c>
      <c r="Z8" s="58">
        <v>17</v>
      </c>
      <c r="AA8" s="59">
        <v>18</v>
      </c>
      <c r="AB8" s="58">
        <v>19</v>
      </c>
      <c r="AC8" s="59">
        <v>20</v>
      </c>
      <c r="AD8" s="58">
        <v>21</v>
      </c>
      <c r="AE8" s="59">
        <v>22</v>
      </c>
      <c r="AF8" s="58">
        <v>23</v>
      </c>
      <c r="AG8" s="59">
        <v>24</v>
      </c>
      <c r="AH8" s="58">
        <v>25</v>
      </c>
      <c r="AI8" s="60"/>
      <c r="AJ8" s="61" t="s">
        <v>7</v>
      </c>
      <c r="AK8" s="62"/>
      <c r="AL8" s="63" t="s">
        <v>8</v>
      </c>
      <c r="AM8" s="60"/>
      <c r="AN8" s="64">
        <v>26</v>
      </c>
      <c r="AO8" s="65">
        <v>27</v>
      </c>
      <c r="AP8" s="64">
        <v>28</v>
      </c>
      <c r="AQ8" s="65">
        <v>29</v>
      </c>
      <c r="AR8" s="64">
        <v>30</v>
      </c>
      <c r="AS8" s="65">
        <v>31</v>
      </c>
      <c r="AT8" s="64">
        <v>32</v>
      </c>
      <c r="AU8" s="65">
        <v>33</v>
      </c>
      <c r="AV8" s="64">
        <v>34</v>
      </c>
      <c r="AW8" s="65">
        <v>35</v>
      </c>
      <c r="AX8" s="64">
        <v>36</v>
      </c>
      <c r="AY8" s="65">
        <v>37</v>
      </c>
      <c r="AZ8" s="64">
        <v>38</v>
      </c>
      <c r="BA8" s="65">
        <v>39</v>
      </c>
      <c r="BB8" s="64">
        <v>40</v>
      </c>
      <c r="BC8" s="65">
        <v>41</v>
      </c>
      <c r="BD8" s="64">
        <v>42</v>
      </c>
      <c r="BE8" s="65">
        <v>43</v>
      </c>
      <c r="BF8" s="64">
        <v>44</v>
      </c>
      <c r="BG8" s="65">
        <v>45</v>
      </c>
      <c r="BH8" s="64">
        <v>46</v>
      </c>
      <c r="BI8" s="65">
        <v>47</v>
      </c>
      <c r="BJ8" s="64">
        <v>48</v>
      </c>
      <c r="BK8" s="65">
        <v>49</v>
      </c>
      <c r="BL8" s="64">
        <v>50</v>
      </c>
      <c r="BM8" s="60"/>
      <c r="BN8" s="66" t="s">
        <v>7</v>
      </c>
      <c r="BO8" s="193"/>
      <c r="BP8" s="194" t="s">
        <v>9</v>
      </c>
      <c r="BQ8" s="68" t="s">
        <v>48</v>
      </c>
      <c r="BR8" s="69" t="s">
        <v>33</v>
      </c>
      <c r="BS8" s="69" t="s">
        <v>49</v>
      </c>
      <c r="BT8" s="70" t="s">
        <v>56</v>
      </c>
      <c r="BU8" s="71" t="s">
        <v>6</v>
      </c>
      <c r="BV8" s="72" t="s">
        <v>50</v>
      </c>
      <c r="BW8" s="72" t="s">
        <v>35</v>
      </c>
      <c r="BX8" s="72"/>
      <c r="BY8" s="73"/>
      <c r="BZ8" s="74" t="s">
        <v>37</v>
      </c>
      <c r="CA8" s="74" t="s">
        <v>38</v>
      </c>
      <c r="CB8" s="74" t="s">
        <v>39</v>
      </c>
      <c r="CC8" s="74" t="s">
        <v>40</v>
      </c>
      <c r="CD8" s="74" t="s">
        <v>41</v>
      </c>
      <c r="CE8" s="74" t="s">
        <v>42</v>
      </c>
      <c r="CF8" s="75"/>
    </row>
    <row r="9" spans="1:85" ht="15" customHeight="1" x14ac:dyDescent="0.25">
      <c r="A9" s="76">
        <v>1</v>
      </c>
      <c r="B9" s="77">
        <v>16707942</v>
      </c>
      <c r="C9" s="78"/>
      <c r="D9" s="79" t="s">
        <v>198</v>
      </c>
      <c r="E9" s="79">
        <v>16707942</v>
      </c>
      <c r="F9" s="80" t="s">
        <v>377</v>
      </c>
      <c r="G9" s="81" t="s">
        <v>29</v>
      </c>
      <c r="H9" s="82" t="s">
        <v>12</v>
      </c>
      <c r="I9" s="83" t="s">
        <v>16</v>
      </c>
      <c r="J9" s="84">
        <v>0</v>
      </c>
      <c r="K9" s="85">
        <v>0</v>
      </c>
      <c r="L9" s="85">
        <v>1</v>
      </c>
      <c r="M9" s="85">
        <v>0</v>
      </c>
      <c r="N9" s="85">
        <v>0</v>
      </c>
      <c r="O9" s="85">
        <v>1</v>
      </c>
      <c r="P9" s="85">
        <v>1</v>
      </c>
      <c r="Q9" s="85">
        <v>1</v>
      </c>
      <c r="R9" s="85">
        <v>0</v>
      </c>
      <c r="S9" s="85">
        <v>0</v>
      </c>
      <c r="T9" s="85">
        <v>0</v>
      </c>
      <c r="U9" s="85">
        <v>0</v>
      </c>
      <c r="V9" s="85">
        <v>0</v>
      </c>
      <c r="W9" s="85">
        <v>0</v>
      </c>
      <c r="X9" s="85">
        <v>0</v>
      </c>
      <c r="Y9" s="85">
        <v>0</v>
      </c>
      <c r="Z9" s="85">
        <v>1</v>
      </c>
      <c r="AA9" s="85">
        <v>1</v>
      </c>
      <c r="AB9" s="85">
        <v>0</v>
      </c>
      <c r="AC9" s="85">
        <v>0</v>
      </c>
      <c r="AD9" s="85">
        <v>0</v>
      </c>
      <c r="AE9" s="85">
        <v>0</v>
      </c>
      <c r="AF9" s="85">
        <v>0</v>
      </c>
      <c r="AG9" s="85">
        <v>0</v>
      </c>
      <c r="AH9" s="86">
        <v>1</v>
      </c>
      <c r="AI9" s="10"/>
      <c r="AJ9" s="203">
        <f>SUM(J9:AH9)</f>
        <v>7</v>
      </c>
      <c r="AK9" s="88"/>
      <c r="AL9" s="202">
        <f>(AJ9*20)/$AJ$6</f>
        <v>5.6</v>
      </c>
      <c r="AM9" s="10"/>
      <c r="AN9" s="84">
        <v>1</v>
      </c>
      <c r="AO9" s="85">
        <v>0</v>
      </c>
      <c r="AP9" s="85">
        <v>1</v>
      </c>
      <c r="AQ9" s="85">
        <v>0</v>
      </c>
      <c r="AR9" s="85">
        <v>0</v>
      </c>
      <c r="AS9" s="85">
        <v>0</v>
      </c>
      <c r="AT9" s="85">
        <v>1</v>
      </c>
      <c r="AU9" s="85">
        <v>1</v>
      </c>
      <c r="AV9" s="85">
        <v>0</v>
      </c>
      <c r="AW9" s="85">
        <v>0</v>
      </c>
      <c r="AX9" s="85">
        <v>0</v>
      </c>
      <c r="AY9" s="85">
        <v>0</v>
      </c>
      <c r="AZ9" s="85">
        <v>0</v>
      </c>
      <c r="BA9" s="85">
        <v>0</v>
      </c>
      <c r="BB9" s="85">
        <v>0</v>
      </c>
      <c r="BC9" s="85">
        <v>0</v>
      </c>
      <c r="BD9" s="85">
        <v>0</v>
      </c>
      <c r="BE9" s="85">
        <v>1</v>
      </c>
      <c r="BF9" s="85">
        <v>0</v>
      </c>
      <c r="BG9" s="85">
        <v>1</v>
      </c>
      <c r="BH9" s="85">
        <v>1</v>
      </c>
      <c r="BI9" s="85">
        <v>1</v>
      </c>
      <c r="BJ9" s="85">
        <v>0</v>
      </c>
      <c r="BK9" s="85">
        <v>0</v>
      </c>
      <c r="BL9" s="85">
        <v>0</v>
      </c>
      <c r="BM9" s="10"/>
      <c r="BN9" s="203">
        <f>SUM(AN9:BL9)</f>
        <v>8</v>
      </c>
      <c r="BO9" s="88"/>
      <c r="BP9" s="90">
        <f>(BN9*20)/$BN$6</f>
        <v>6.4</v>
      </c>
      <c r="BQ9" s="204">
        <f>IF(ISERROR(ROUND(IF(H9="H",((AL9*2+BP9)/3),((BP9*2+AL9)/3)),2)),"",ROUND(IF(H9="H",((AL9*2+BP9)/3),((BP9*2+AL9)/3)),2))</f>
        <v>5.87</v>
      </c>
      <c r="BR9" s="92">
        <f>IF(ISERROR((BQ9/20)*100),"",(BQ9/20)*100)</f>
        <v>29.349999999999998</v>
      </c>
      <c r="BS9" s="93" t="s">
        <v>24</v>
      </c>
      <c r="BT9" s="94">
        <v>1</v>
      </c>
      <c r="BU9" s="95" t="s">
        <v>16</v>
      </c>
      <c r="BV9" s="96" t="s">
        <v>24</v>
      </c>
      <c r="BW9" s="97" t="s">
        <v>26</v>
      </c>
      <c r="BX9" s="97"/>
      <c r="BY9" s="98"/>
      <c r="BZ9" s="209">
        <f>IF(ISERROR(BN9/$BN$6),"",BN9/$BN$6)</f>
        <v>0.32</v>
      </c>
      <c r="CA9" s="100" t="str">
        <f>CONCATENATE(IF(CD9&lt;0.6,"COMPRENSIÓN LECTORA /",""),IF(CE9&lt;0.6,"REDACCIÓN /",""),IF(BZ9&lt;0.6,"MATEMATICA",""))</f>
        <v>COMPRENSIÓN LECTORA /REDACCIÓN /MATEMATICA</v>
      </c>
      <c r="CB9" s="97">
        <v>4</v>
      </c>
      <c r="CC9" s="97">
        <v>3</v>
      </c>
      <c r="CD9" s="99">
        <f>IF(ISERROR(CB9/$CB$3),"",CB9/$CB$3)</f>
        <v>0.26666666666666666</v>
      </c>
      <c r="CE9" s="99">
        <f>IF(ISERROR(CC9/$CC$3),"",CC9/$CC$3)</f>
        <v>0.3</v>
      </c>
      <c r="CF9" s="44"/>
    </row>
    <row r="10" spans="1:85" ht="15" customHeight="1" x14ac:dyDescent="0.25">
      <c r="A10" s="76">
        <v>2</v>
      </c>
      <c r="B10" s="77">
        <v>46933462</v>
      </c>
      <c r="C10" s="78"/>
      <c r="D10" s="79" t="s">
        <v>174</v>
      </c>
      <c r="E10" s="79">
        <v>46933462</v>
      </c>
      <c r="F10" s="80" t="s">
        <v>365</v>
      </c>
      <c r="G10" s="81" t="s">
        <v>29</v>
      </c>
      <c r="H10" s="82" t="s">
        <v>12</v>
      </c>
      <c r="I10" s="83" t="s">
        <v>13</v>
      </c>
      <c r="J10" s="84">
        <v>1</v>
      </c>
      <c r="K10" s="85">
        <v>0</v>
      </c>
      <c r="L10" s="85">
        <v>1</v>
      </c>
      <c r="M10" s="85">
        <v>1</v>
      </c>
      <c r="N10" s="85">
        <v>1</v>
      </c>
      <c r="O10" s="85">
        <v>0</v>
      </c>
      <c r="P10" s="85">
        <v>1</v>
      </c>
      <c r="Q10" s="85">
        <v>1</v>
      </c>
      <c r="R10" s="85">
        <v>0</v>
      </c>
      <c r="S10" s="85">
        <v>1</v>
      </c>
      <c r="T10" s="85">
        <v>1</v>
      </c>
      <c r="U10" s="85">
        <v>0</v>
      </c>
      <c r="V10" s="85">
        <v>0</v>
      </c>
      <c r="W10" s="85">
        <v>1</v>
      </c>
      <c r="X10" s="85">
        <v>0</v>
      </c>
      <c r="Y10" s="85">
        <v>1</v>
      </c>
      <c r="Z10" s="85">
        <v>1</v>
      </c>
      <c r="AA10" s="85">
        <v>1</v>
      </c>
      <c r="AB10" s="85">
        <v>1</v>
      </c>
      <c r="AC10" s="85">
        <v>1</v>
      </c>
      <c r="AD10" s="85">
        <v>0</v>
      </c>
      <c r="AE10" s="85">
        <v>1</v>
      </c>
      <c r="AF10" s="85">
        <v>1</v>
      </c>
      <c r="AG10" s="85">
        <v>1</v>
      </c>
      <c r="AH10" s="86">
        <v>1</v>
      </c>
      <c r="AI10" s="10"/>
      <c r="AJ10" s="203">
        <f t="shared" ref="AJ10:AJ27" si="0">SUM(J10:AH10)</f>
        <v>18</v>
      </c>
      <c r="AK10" s="88"/>
      <c r="AL10" s="202">
        <f t="shared" ref="AL10:AL27" si="1">(AJ10*20)/$AJ$6</f>
        <v>14.4</v>
      </c>
      <c r="AM10" s="10"/>
      <c r="AN10" s="84">
        <v>1</v>
      </c>
      <c r="AO10" s="85">
        <v>1</v>
      </c>
      <c r="AP10" s="85">
        <v>0</v>
      </c>
      <c r="AQ10" s="85">
        <v>0</v>
      </c>
      <c r="AR10" s="85">
        <v>1</v>
      </c>
      <c r="AS10" s="85">
        <v>0</v>
      </c>
      <c r="AT10" s="85">
        <v>0</v>
      </c>
      <c r="AU10" s="85">
        <v>0</v>
      </c>
      <c r="AV10" s="85">
        <v>0</v>
      </c>
      <c r="AW10" s="85">
        <v>1</v>
      </c>
      <c r="AX10" s="85">
        <v>1</v>
      </c>
      <c r="AY10" s="85">
        <v>1</v>
      </c>
      <c r="AZ10" s="85">
        <v>1</v>
      </c>
      <c r="BA10" s="85">
        <v>0</v>
      </c>
      <c r="BB10" s="85">
        <v>0</v>
      </c>
      <c r="BC10" s="85">
        <v>0</v>
      </c>
      <c r="BD10" s="85">
        <v>0</v>
      </c>
      <c r="BE10" s="85">
        <v>0</v>
      </c>
      <c r="BF10" s="85">
        <v>0</v>
      </c>
      <c r="BG10" s="85">
        <v>0</v>
      </c>
      <c r="BH10" s="85">
        <v>0</v>
      </c>
      <c r="BI10" s="85">
        <v>0</v>
      </c>
      <c r="BJ10" s="85">
        <v>0</v>
      </c>
      <c r="BK10" s="85">
        <v>0</v>
      </c>
      <c r="BL10" s="85">
        <v>0</v>
      </c>
      <c r="BM10" s="10"/>
      <c r="BN10" s="203">
        <f t="shared" ref="BN10:BN27" si="2">SUM(AN10:BL10)</f>
        <v>7</v>
      </c>
      <c r="BO10" s="88"/>
      <c r="BP10" s="90">
        <f t="shared" ref="BP10:BP27" si="3">(BN10*20)/$BN$6</f>
        <v>5.6</v>
      </c>
      <c r="BQ10" s="204">
        <f t="shared" ref="BQ10:BQ27" si="4">IF(ISERROR(ROUND(IF(H10="H",((AL10*2+BP10)/3),((BP10*2+AL10)/3)),2)),"",ROUND(IF(H10="H",((AL10*2+BP10)/3),((BP10*2+AL10)/3)),2))</f>
        <v>11.47</v>
      </c>
      <c r="BR10" s="92">
        <f t="shared" ref="BR10:BR27" si="5">IF(ISERROR((BQ10/20)*100),"",(BQ10/20)*100)</f>
        <v>57.35</v>
      </c>
      <c r="BS10" s="93" t="s">
        <v>24</v>
      </c>
      <c r="BT10" s="94">
        <v>1</v>
      </c>
      <c r="BU10" s="95" t="s">
        <v>13</v>
      </c>
      <c r="BV10" s="96" t="s">
        <v>23</v>
      </c>
      <c r="BW10" s="97" t="s">
        <v>26</v>
      </c>
      <c r="BX10" s="97"/>
      <c r="BY10" s="98"/>
      <c r="BZ10" s="209">
        <f t="shared" ref="BZ10:BZ27" si="6">IF(ISERROR(BN10/$BN$6),"",BN10/$BN$6)</f>
        <v>0.28000000000000003</v>
      </c>
      <c r="CA10" s="100" t="str">
        <f t="shared" ref="CA10:CA27" si="7">CONCATENATE(IF(CD10&lt;0.6,"COMPRENSIÓN LECTORA /",""),IF(CE10&lt;0.6,"REDACCIÓN /",""),IF(BZ10&lt;0.6,"MATEMATICA",""))</f>
        <v>REDACCIÓN /MATEMATICA</v>
      </c>
      <c r="CB10" s="97">
        <v>13</v>
      </c>
      <c r="CC10" s="97">
        <v>5</v>
      </c>
      <c r="CD10" s="99">
        <f t="shared" ref="CD10:CD27" si="8">IF(ISERROR(CB10/$CB$3),"",CB10/$CB$3)</f>
        <v>0.8666666666666667</v>
      </c>
      <c r="CE10" s="99">
        <f t="shared" ref="CE10:CE27" si="9">IF(ISERROR(CC10/$CC$3),"",CC10/$CC$3)</f>
        <v>0.5</v>
      </c>
      <c r="CF10" s="44"/>
    </row>
    <row r="11" spans="1:85" ht="15" customHeight="1" x14ac:dyDescent="0.25">
      <c r="A11" s="76">
        <v>3</v>
      </c>
      <c r="B11" s="77">
        <v>47080538</v>
      </c>
      <c r="C11" s="78"/>
      <c r="D11" s="79" t="s">
        <v>236</v>
      </c>
      <c r="E11" s="79">
        <v>47080538</v>
      </c>
      <c r="F11" s="80" t="s">
        <v>308</v>
      </c>
      <c r="G11" s="81" t="s">
        <v>29</v>
      </c>
      <c r="H11" s="82" t="s">
        <v>12</v>
      </c>
      <c r="I11" s="83" t="s">
        <v>13</v>
      </c>
      <c r="J11" s="84">
        <v>1</v>
      </c>
      <c r="K11" s="85">
        <v>1</v>
      </c>
      <c r="L11" s="85">
        <v>1</v>
      </c>
      <c r="M11" s="85">
        <v>1</v>
      </c>
      <c r="N11" s="85">
        <v>0</v>
      </c>
      <c r="O11" s="85">
        <v>1</v>
      </c>
      <c r="P11" s="85">
        <v>1</v>
      </c>
      <c r="Q11" s="85">
        <v>0</v>
      </c>
      <c r="R11" s="85">
        <v>1</v>
      </c>
      <c r="S11" s="85">
        <v>1</v>
      </c>
      <c r="T11" s="85">
        <v>1</v>
      </c>
      <c r="U11" s="85">
        <v>0</v>
      </c>
      <c r="V11" s="85">
        <v>0</v>
      </c>
      <c r="W11" s="85">
        <v>1</v>
      </c>
      <c r="X11" s="85">
        <v>0</v>
      </c>
      <c r="Y11" s="85">
        <v>0</v>
      </c>
      <c r="Z11" s="85">
        <v>1</v>
      </c>
      <c r="AA11" s="85">
        <v>1</v>
      </c>
      <c r="AB11" s="85">
        <v>1</v>
      </c>
      <c r="AC11" s="85">
        <v>1</v>
      </c>
      <c r="AD11" s="85">
        <v>1</v>
      </c>
      <c r="AE11" s="85">
        <v>0</v>
      </c>
      <c r="AF11" s="85">
        <v>0</v>
      </c>
      <c r="AG11" s="85">
        <v>0</v>
      </c>
      <c r="AH11" s="86">
        <v>0</v>
      </c>
      <c r="AI11" s="10"/>
      <c r="AJ11" s="203">
        <f t="shared" si="0"/>
        <v>15</v>
      </c>
      <c r="AK11" s="88"/>
      <c r="AL11" s="202">
        <f t="shared" si="1"/>
        <v>12</v>
      </c>
      <c r="AM11" s="10"/>
      <c r="AN11" s="84">
        <v>1</v>
      </c>
      <c r="AO11" s="85">
        <v>1</v>
      </c>
      <c r="AP11" s="85">
        <v>1</v>
      </c>
      <c r="AQ11" s="85">
        <v>1</v>
      </c>
      <c r="AR11" s="85">
        <v>1</v>
      </c>
      <c r="AS11" s="85">
        <v>1</v>
      </c>
      <c r="AT11" s="85">
        <v>0</v>
      </c>
      <c r="AU11" s="85">
        <v>1</v>
      </c>
      <c r="AV11" s="85">
        <v>1</v>
      </c>
      <c r="AW11" s="85">
        <v>1</v>
      </c>
      <c r="AX11" s="85">
        <v>1</v>
      </c>
      <c r="AY11" s="85">
        <v>1</v>
      </c>
      <c r="AZ11" s="85">
        <v>1</v>
      </c>
      <c r="BA11" s="85">
        <v>1</v>
      </c>
      <c r="BB11" s="85">
        <v>1</v>
      </c>
      <c r="BC11" s="85">
        <v>1</v>
      </c>
      <c r="BD11" s="85">
        <v>1</v>
      </c>
      <c r="BE11" s="85">
        <v>1</v>
      </c>
      <c r="BF11" s="85">
        <v>1</v>
      </c>
      <c r="BG11" s="85">
        <v>1</v>
      </c>
      <c r="BH11" s="85">
        <v>1</v>
      </c>
      <c r="BI11" s="85">
        <v>1</v>
      </c>
      <c r="BJ11" s="85">
        <v>1</v>
      </c>
      <c r="BK11" s="85">
        <v>1</v>
      </c>
      <c r="BL11" s="85">
        <v>1</v>
      </c>
      <c r="BM11" s="10"/>
      <c r="BN11" s="203">
        <f t="shared" si="2"/>
        <v>24</v>
      </c>
      <c r="BO11" s="88"/>
      <c r="BP11" s="90">
        <f t="shared" si="3"/>
        <v>19.2</v>
      </c>
      <c r="BQ11" s="204">
        <f t="shared" si="4"/>
        <v>14.4</v>
      </c>
      <c r="BR11" s="92">
        <f t="shared" si="5"/>
        <v>72</v>
      </c>
      <c r="BS11" s="93" t="s">
        <v>23</v>
      </c>
      <c r="BT11" s="94">
        <v>1</v>
      </c>
      <c r="BU11" s="95" t="s">
        <v>13</v>
      </c>
      <c r="BV11" s="96" t="s">
        <v>23</v>
      </c>
      <c r="BW11" s="97" t="s">
        <v>27</v>
      </c>
      <c r="BX11" s="97"/>
      <c r="BY11" s="98"/>
      <c r="BZ11" s="209">
        <f t="shared" si="6"/>
        <v>0.96</v>
      </c>
      <c r="CA11" s="100" t="str">
        <f t="shared" si="7"/>
        <v/>
      </c>
      <c r="CB11" s="97">
        <v>9</v>
      </c>
      <c r="CC11" s="97">
        <v>6</v>
      </c>
      <c r="CD11" s="99">
        <f t="shared" si="8"/>
        <v>0.6</v>
      </c>
      <c r="CE11" s="99">
        <f t="shared" si="9"/>
        <v>0.6</v>
      </c>
      <c r="CF11" s="44"/>
    </row>
    <row r="12" spans="1:85" ht="15" customHeight="1" x14ac:dyDescent="0.25">
      <c r="A12" s="76">
        <v>4</v>
      </c>
      <c r="B12" s="77">
        <v>47576323</v>
      </c>
      <c r="C12" s="78"/>
      <c r="D12" s="79" t="s">
        <v>240</v>
      </c>
      <c r="E12" s="79">
        <v>47576323</v>
      </c>
      <c r="F12" s="80" t="s">
        <v>355</v>
      </c>
      <c r="G12" s="81" t="s">
        <v>29</v>
      </c>
      <c r="H12" s="82" t="s">
        <v>12</v>
      </c>
      <c r="I12" s="83" t="s">
        <v>15</v>
      </c>
      <c r="J12" s="84">
        <v>1</v>
      </c>
      <c r="K12" s="85">
        <v>1</v>
      </c>
      <c r="L12" s="85">
        <v>0</v>
      </c>
      <c r="M12" s="85">
        <v>1</v>
      </c>
      <c r="N12" s="85">
        <v>1</v>
      </c>
      <c r="O12" s="85">
        <v>1</v>
      </c>
      <c r="P12" s="85">
        <v>1</v>
      </c>
      <c r="Q12" s="85">
        <v>1</v>
      </c>
      <c r="R12" s="85">
        <v>0</v>
      </c>
      <c r="S12" s="85">
        <v>0</v>
      </c>
      <c r="T12" s="85">
        <v>1</v>
      </c>
      <c r="U12" s="85">
        <v>1</v>
      </c>
      <c r="V12" s="85">
        <v>0</v>
      </c>
      <c r="W12" s="85">
        <v>1</v>
      </c>
      <c r="X12" s="85">
        <v>0</v>
      </c>
      <c r="Y12" s="85">
        <v>0</v>
      </c>
      <c r="Z12" s="85">
        <v>0</v>
      </c>
      <c r="AA12" s="85">
        <v>1</v>
      </c>
      <c r="AB12" s="85">
        <v>1</v>
      </c>
      <c r="AC12" s="85">
        <v>1</v>
      </c>
      <c r="AD12" s="85">
        <v>1</v>
      </c>
      <c r="AE12" s="85">
        <v>0</v>
      </c>
      <c r="AF12" s="85">
        <v>1</v>
      </c>
      <c r="AG12" s="85">
        <v>1</v>
      </c>
      <c r="AH12" s="86">
        <v>0</v>
      </c>
      <c r="AI12" s="10"/>
      <c r="AJ12" s="203">
        <f t="shared" si="0"/>
        <v>16</v>
      </c>
      <c r="AK12" s="88"/>
      <c r="AL12" s="202">
        <f t="shared" si="1"/>
        <v>12.8</v>
      </c>
      <c r="AM12" s="10"/>
      <c r="AN12" s="84">
        <v>0</v>
      </c>
      <c r="AO12" s="85">
        <v>1</v>
      </c>
      <c r="AP12" s="85">
        <v>0</v>
      </c>
      <c r="AQ12" s="85">
        <v>1</v>
      </c>
      <c r="AR12" s="85">
        <v>1</v>
      </c>
      <c r="AS12" s="85">
        <v>1</v>
      </c>
      <c r="AT12" s="85">
        <v>0</v>
      </c>
      <c r="AU12" s="85">
        <v>1</v>
      </c>
      <c r="AV12" s="85">
        <v>1</v>
      </c>
      <c r="AW12" s="85">
        <v>0</v>
      </c>
      <c r="AX12" s="85">
        <v>0</v>
      </c>
      <c r="AY12" s="85">
        <v>1</v>
      </c>
      <c r="AZ12" s="85">
        <v>0</v>
      </c>
      <c r="BA12" s="85">
        <v>0</v>
      </c>
      <c r="BB12" s="85">
        <v>0</v>
      </c>
      <c r="BC12" s="85">
        <v>0</v>
      </c>
      <c r="BD12" s="85">
        <v>1</v>
      </c>
      <c r="BE12" s="85">
        <v>0</v>
      </c>
      <c r="BF12" s="85">
        <v>1</v>
      </c>
      <c r="BG12" s="85">
        <v>0</v>
      </c>
      <c r="BH12" s="85">
        <v>1</v>
      </c>
      <c r="BI12" s="85">
        <v>0</v>
      </c>
      <c r="BJ12" s="85">
        <v>1</v>
      </c>
      <c r="BK12" s="85">
        <v>0</v>
      </c>
      <c r="BL12" s="85">
        <v>0</v>
      </c>
      <c r="BM12" s="10"/>
      <c r="BN12" s="203">
        <f t="shared" si="2"/>
        <v>11</v>
      </c>
      <c r="BO12" s="88"/>
      <c r="BP12" s="90">
        <f t="shared" si="3"/>
        <v>8.8000000000000007</v>
      </c>
      <c r="BQ12" s="204">
        <f t="shared" si="4"/>
        <v>11.47</v>
      </c>
      <c r="BR12" s="92">
        <f t="shared" si="5"/>
        <v>57.35</v>
      </c>
      <c r="BS12" s="93" t="s">
        <v>24</v>
      </c>
      <c r="BT12" s="94">
        <v>1</v>
      </c>
      <c r="BU12" s="95" t="s">
        <v>15</v>
      </c>
      <c r="BV12" s="96" t="s">
        <v>23</v>
      </c>
      <c r="BW12" s="97" t="s">
        <v>26</v>
      </c>
      <c r="BX12" s="97"/>
      <c r="BY12" s="98"/>
      <c r="BZ12" s="209">
        <f t="shared" si="6"/>
        <v>0.44</v>
      </c>
      <c r="CA12" s="100" t="str">
        <f t="shared" si="7"/>
        <v>MATEMATICA</v>
      </c>
      <c r="CB12" s="97">
        <v>10</v>
      </c>
      <c r="CC12" s="97">
        <v>6</v>
      </c>
      <c r="CD12" s="99">
        <f t="shared" si="8"/>
        <v>0.66666666666666663</v>
      </c>
      <c r="CE12" s="99">
        <f t="shared" si="9"/>
        <v>0.6</v>
      </c>
      <c r="CF12" s="44"/>
    </row>
    <row r="13" spans="1:85" ht="15" customHeight="1" x14ac:dyDescent="0.25">
      <c r="A13" s="76">
        <v>5</v>
      </c>
      <c r="B13" s="77">
        <v>48230913</v>
      </c>
      <c r="C13" s="78"/>
      <c r="D13" s="79" t="s">
        <v>204</v>
      </c>
      <c r="E13" s="79">
        <v>48230913</v>
      </c>
      <c r="F13" s="80" t="s">
        <v>385</v>
      </c>
      <c r="G13" s="81" t="s">
        <v>29</v>
      </c>
      <c r="H13" s="82" t="s">
        <v>0</v>
      </c>
      <c r="I13" s="83" t="s">
        <v>17</v>
      </c>
      <c r="J13" s="84">
        <v>1</v>
      </c>
      <c r="K13" s="85">
        <v>0</v>
      </c>
      <c r="L13" s="85">
        <v>1</v>
      </c>
      <c r="M13" s="85">
        <v>1</v>
      </c>
      <c r="N13" s="85">
        <v>0</v>
      </c>
      <c r="O13" s="85">
        <v>0</v>
      </c>
      <c r="P13" s="85">
        <v>0</v>
      </c>
      <c r="Q13" s="85">
        <v>1</v>
      </c>
      <c r="R13" s="85">
        <v>0</v>
      </c>
      <c r="S13" s="85">
        <v>0</v>
      </c>
      <c r="T13" s="85">
        <v>1</v>
      </c>
      <c r="U13" s="85">
        <v>0</v>
      </c>
      <c r="V13" s="85">
        <v>0</v>
      </c>
      <c r="W13" s="85">
        <v>1</v>
      </c>
      <c r="X13" s="85">
        <v>0</v>
      </c>
      <c r="Y13" s="85">
        <v>1</v>
      </c>
      <c r="Z13" s="85">
        <v>1</v>
      </c>
      <c r="AA13" s="85">
        <v>1</v>
      </c>
      <c r="AB13" s="85">
        <v>1</v>
      </c>
      <c r="AC13" s="85">
        <v>1</v>
      </c>
      <c r="AD13" s="85">
        <v>1</v>
      </c>
      <c r="AE13" s="85">
        <v>1</v>
      </c>
      <c r="AF13" s="85">
        <v>1</v>
      </c>
      <c r="AG13" s="85">
        <v>0</v>
      </c>
      <c r="AH13" s="86">
        <v>0</v>
      </c>
      <c r="AI13" s="10"/>
      <c r="AJ13" s="203">
        <f t="shared" si="0"/>
        <v>14</v>
      </c>
      <c r="AK13" s="88"/>
      <c r="AL13" s="202">
        <f t="shared" si="1"/>
        <v>11.2</v>
      </c>
      <c r="AM13" s="10"/>
      <c r="AN13" s="84">
        <v>1</v>
      </c>
      <c r="AO13" s="85">
        <v>0</v>
      </c>
      <c r="AP13" s="85">
        <v>0</v>
      </c>
      <c r="AQ13" s="85">
        <v>0</v>
      </c>
      <c r="AR13" s="85">
        <v>1</v>
      </c>
      <c r="AS13" s="85">
        <v>0</v>
      </c>
      <c r="AT13" s="85">
        <v>0</v>
      </c>
      <c r="AU13" s="85">
        <v>0</v>
      </c>
      <c r="AV13" s="85">
        <v>0</v>
      </c>
      <c r="AW13" s="85">
        <v>0</v>
      </c>
      <c r="AX13" s="85">
        <v>1</v>
      </c>
      <c r="AY13" s="85">
        <v>1</v>
      </c>
      <c r="AZ13" s="85">
        <v>1</v>
      </c>
      <c r="BA13" s="85">
        <v>0</v>
      </c>
      <c r="BB13" s="85">
        <v>0</v>
      </c>
      <c r="BC13" s="85">
        <v>0</v>
      </c>
      <c r="BD13" s="85">
        <v>0</v>
      </c>
      <c r="BE13" s="85">
        <v>0</v>
      </c>
      <c r="BF13" s="85">
        <v>0</v>
      </c>
      <c r="BG13" s="85">
        <v>0</v>
      </c>
      <c r="BH13" s="85">
        <v>0</v>
      </c>
      <c r="BI13" s="85">
        <v>0</v>
      </c>
      <c r="BJ13" s="85">
        <v>0</v>
      </c>
      <c r="BK13" s="85">
        <v>0</v>
      </c>
      <c r="BL13" s="85">
        <v>0</v>
      </c>
      <c r="BM13" s="10"/>
      <c r="BN13" s="203">
        <f t="shared" si="2"/>
        <v>5</v>
      </c>
      <c r="BO13" s="88"/>
      <c r="BP13" s="90">
        <f t="shared" si="3"/>
        <v>4</v>
      </c>
      <c r="BQ13" s="204">
        <f t="shared" si="4"/>
        <v>6.4</v>
      </c>
      <c r="BR13" s="92">
        <f t="shared" si="5"/>
        <v>32</v>
      </c>
      <c r="BS13" s="93" t="s">
        <v>24</v>
      </c>
      <c r="BT13" s="94">
        <v>1</v>
      </c>
      <c r="BU13" s="95" t="s">
        <v>17</v>
      </c>
      <c r="BV13" s="96" t="s">
        <v>24</v>
      </c>
      <c r="BW13" s="97" t="s">
        <v>26</v>
      </c>
      <c r="BX13" s="97"/>
      <c r="BY13" s="98"/>
      <c r="BZ13" s="209">
        <f t="shared" si="6"/>
        <v>0.2</v>
      </c>
      <c r="CA13" s="100" t="str">
        <f t="shared" si="7"/>
        <v>REDACCIÓN /MATEMATICA</v>
      </c>
      <c r="CB13" s="97">
        <v>11</v>
      </c>
      <c r="CC13" s="97">
        <v>3</v>
      </c>
      <c r="CD13" s="99">
        <f t="shared" si="8"/>
        <v>0.73333333333333328</v>
      </c>
      <c r="CE13" s="99">
        <f t="shared" si="9"/>
        <v>0.3</v>
      </c>
      <c r="CF13" s="44"/>
    </row>
    <row r="14" spans="1:85" ht="15" customHeight="1" x14ac:dyDescent="0.25">
      <c r="A14" s="76">
        <v>6</v>
      </c>
      <c r="B14" s="77">
        <v>60488934</v>
      </c>
      <c r="C14" s="78"/>
      <c r="D14" s="79" t="s">
        <v>285</v>
      </c>
      <c r="E14" s="79">
        <v>60488934</v>
      </c>
      <c r="F14" s="80" t="s">
        <v>97</v>
      </c>
      <c r="G14" s="81" t="s">
        <v>29</v>
      </c>
      <c r="H14" s="82" t="s">
        <v>12</v>
      </c>
      <c r="I14" s="83" t="s">
        <v>15</v>
      </c>
      <c r="J14" s="84">
        <v>0</v>
      </c>
      <c r="K14" s="85">
        <v>1</v>
      </c>
      <c r="L14" s="85">
        <v>0</v>
      </c>
      <c r="M14" s="85">
        <v>1</v>
      </c>
      <c r="N14" s="85">
        <v>1</v>
      </c>
      <c r="O14" s="85">
        <v>0</v>
      </c>
      <c r="P14" s="85">
        <v>1</v>
      </c>
      <c r="Q14" s="85">
        <v>1</v>
      </c>
      <c r="R14" s="85">
        <v>0</v>
      </c>
      <c r="S14" s="85">
        <v>0</v>
      </c>
      <c r="T14" s="85">
        <v>1</v>
      </c>
      <c r="U14" s="85">
        <v>0</v>
      </c>
      <c r="V14" s="85">
        <v>0</v>
      </c>
      <c r="W14" s="85">
        <v>1</v>
      </c>
      <c r="X14" s="85">
        <v>0</v>
      </c>
      <c r="Y14" s="85">
        <v>0</v>
      </c>
      <c r="Z14" s="85">
        <v>1</v>
      </c>
      <c r="AA14" s="85">
        <v>1</v>
      </c>
      <c r="AB14" s="85">
        <v>1</v>
      </c>
      <c r="AC14" s="85">
        <v>1</v>
      </c>
      <c r="AD14" s="85">
        <v>1</v>
      </c>
      <c r="AE14" s="85">
        <v>1</v>
      </c>
      <c r="AF14" s="85">
        <v>1</v>
      </c>
      <c r="AG14" s="85">
        <v>0</v>
      </c>
      <c r="AH14" s="86">
        <v>0</v>
      </c>
      <c r="AI14" s="10"/>
      <c r="AJ14" s="203">
        <f t="shared" si="0"/>
        <v>14</v>
      </c>
      <c r="AK14" s="88"/>
      <c r="AL14" s="202">
        <f t="shared" si="1"/>
        <v>11.2</v>
      </c>
      <c r="AM14" s="10"/>
      <c r="AN14" s="84">
        <v>1</v>
      </c>
      <c r="AO14" s="85">
        <v>0</v>
      </c>
      <c r="AP14" s="85">
        <v>1</v>
      </c>
      <c r="AQ14" s="85">
        <v>0</v>
      </c>
      <c r="AR14" s="85">
        <v>0</v>
      </c>
      <c r="AS14" s="85">
        <v>1</v>
      </c>
      <c r="AT14" s="85">
        <v>0</v>
      </c>
      <c r="AU14" s="85">
        <v>0</v>
      </c>
      <c r="AV14" s="85">
        <v>1</v>
      </c>
      <c r="AW14" s="85">
        <v>1</v>
      </c>
      <c r="AX14" s="85">
        <v>0</v>
      </c>
      <c r="AY14" s="85">
        <v>1</v>
      </c>
      <c r="AZ14" s="85">
        <v>0</v>
      </c>
      <c r="BA14" s="85">
        <v>0</v>
      </c>
      <c r="BB14" s="85">
        <v>0</v>
      </c>
      <c r="BC14" s="85">
        <v>0</v>
      </c>
      <c r="BD14" s="85">
        <v>0</v>
      </c>
      <c r="BE14" s="85">
        <v>0</v>
      </c>
      <c r="BF14" s="85">
        <v>1</v>
      </c>
      <c r="BG14" s="85">
        <v>0</v>
      </c>
      <c r="BH14" s="85">
        <v>0</v>
      </c>
      <c r="BI14" s="85">
        <v>0</v>
      </c>
      <c r="BJ14" s="85">
        <v>0</v>
      </c>
      <c r="BK14" s="85">
        <v>0</v>
      </c>
      <c r="BL14" s="85">
        <v>0</v>
      </c>
      <c r="BM14" s="10"/>
      <c r="BN14" s="203">
        <f t="shared" si="2"/>
        <v>7</v>
      </c>
      <c r="BO14" s="88"/>
      <c r="BP14" s="90">
        <f t="shared" si="3"/>
        <v>5.6</v>
      </c>
      <c r="BQ14" s="204">
        <f t="shared" si="4"/>
        <v>9.33</v>
      </c>
      <c r="BR14" s="92">
        <f t="shared" si="5"/>
        <v>46.650000000000006</v>
      </c>
      <c r="BS14" s="93" t="s">
        <v>24</v>
      </c>
      <c r="BT14" s="94">
        <v>1</v>
      </c>
      <c r="BU14" s="95" t="s">
        <v>15</v>
      </c>
      <c r="BV14" s="96" t="s">
        <v>24</v>
      </c>
      <c r="BW14" s="97" t="s">
        <v>26</v>
      </c>
      <c r="BX14" s="97"/>
      <c r="BY14" s="98"/>
      <c r="BZ14" s="209">
        <f t="shared" si="6"/>
        <v>0.28000000000000003</v>
      </c>
      <c r="CA14" s="100" t="str">
        <f t="shared" si="7"/>
        <v>REDACCIÓN /MATEMATICA</v>
      </c>
      <c r="CB14" s="97">
        <v>10</v>
      </c>
      <c r="CC14" s="97">
        <v>4</v>
      </c>
      <c r="CD14" s="99">
        <f t="shared" si="8"/>
        <v>0.66666666666666663</v>
      </c>
      <c r="CE14" s="99">
        <f t="shared" si="9"/>
        <v>0.4</v>
      </c>
      <c r="CF14" s="44"/>
    </row>
    <row r="15" spans="1:85" ht="15" customHeight="1" x14ac:dyDescent="0.25">
      <c r="A15" s="76">
        <v>7</v>
      </c>
      <c r="B15" s="77">
        <v>60775617</v>
      </c>
      <c r="C15" s="78"/>
      <c r="D15" s="79" t="s">
        <v>262</v>
      </c>
      <c r="E15" s="79">
        <v>60775617</v>
      </c>
      <c r="F15" s="80" t="s">
        <v>313</v>
      </c>
      <c r="G15" s="81" t="s">
        <v>29</v>
      </c>
      <c r="H15" s="82" t="s">
        <v>12</v>
      </c>
      <c r="I15" s="83" t="s">
        <v>20</v>
      </c>
      <c r="J15" s="84">
        <v>1</v>
      </c>
      <c r="K15" s="85">
        <v>1</v>
      </c>
      <c r="L15" s="85">
        <v>1</v>
      </c>
      <c r="M15" s="85">
        <v>1</v>
      </c>
      <c r="N15" s="85">
        <v>1</v>
      </c>
      <c r="O15" s="85">
        <v>1</v>
      </c>
      <c r="P15" s="85">
        <v>1</v>
      </c>
      <c r="Q15" s="85">
        <v>0</v>
      </c>
      <c r="R15" s="85">
        <v>1</v>
      </c>
      <c r="S15" s="85">
        <v>1</v>
      </c>
      <c r="T15" s="85">
        <v>1</v>
      </c>
      <c r="U15" s="85">
        <v>0</v>
      </c>
      <c r="V15" s="85">
        <v>0</v>
      </c>
      <c r="W15" s="85">
        <v>1</v>
      </c>
      <c r="X15" s="85">
        <v>0</v>
      </c>
      <c r="Y15" s="85">
        <v>0</v>
      </c>
      <c r="Z15" s="85">
        <v>1</v>
      </c>
      <c r="AA15" s="85">
        <v>1</v>
      </c>
      <c r="AB15" s="85">
        <v>1</v>
      </c>
      <c r="AC15" s="85">
        <v>1</v>
      </c>
      <c r="AD15" s="85">
        <v>1</v>
      </c>
      <c r="AE15" s="85">
        <v>1</v>
      </c>
      <c r="AF15" s="85">
        <v>1</v>
      </c>
      <c r="AG15" s="85">
        <v>0</v>
      </c>
      <c r="AH15" s="86">
        <v>1</v>
      </c>
      <c r="AI15" s="10"/>
      <c r="AJ15" s="203">
        <f t="shared" si="0"/>
        <v>19</v>
      </c>
      <c r="AK15" s="88"/>
      <c r="AL15" s="202">
        <f t="shared" si="1"/>
        <v>15.2</v>
      </c>
      <c r="AM15" s="10"/>
      <c r="AN15" s="84">
        <v>0</v>
      </c>
      <c r="AO15" s="85">
        <v>1</v>
      </c>
      <c r="AP15" s="85">
        <v>0</v>
      </c>
      <c r="AQ15" s="85">
        <v>0</v>
      </c>
      <c r="AR15" s="85">
        <v>1</v>
      </c>
      <c r="AS15" s="85">
        <v>1</v>
      </c>
      <c r="AT15" s="85">
        <v>0</v>
      </c>
      <c r="AU15" s="85">
        <v>1</v>
      </c>
      <c r="AV15" s="85">
        <v>1</v>
      </c>
      <c r="AW15" s="85">
        <v>0</v>
      </c>
      <c r="AX15" s="85">
        <v>1</v>
      </c>
      <c r="AY15" s="85">
        <v>1</v>
      </c>
      <c r="AZ15" s="85">
        <v>1</v>
      </c>
      <c r="BA15" s="85">
        <v>0</v>
      </c>
      <c r="BB15" s="85">
        <v>1</v>
      </c>
      <c r="BC15" s="85">
        <v>0</v>
      </c>
      <c r="BD15" s="85">
        <v>1</v>
      </c>
      <c r="BE15" s="85">
        <v>0</v>
      </c>
      <c r="BF15" s="85">
        <v>1</v>
      </c>
      <c r="BG15" s="85">
        <v>0</v>
      </c>
      <c r="BH15" s="85">
        <v>0</v>
      </c>
      <c r="BI15" s="85">
        <v>1</v>
      </c>
      <c r="BJ15" s="85">
        <v>0</v>
      </c>
      <c r="BK15" s="85">
        <v>1</v>
      </c>
      <c r="BL15" s="85">
        <v>1</v>
      </c>
      <c r="BM15" s="10"/>
      <c r="BN15" s="203">
        <f t="shared" si="2"/>
        <v>14</v>
      </c>
      <c r="BO15" s="88"/>
      <c r="BP15" s="90">
        <f t="shared" si="3"/>
        <v>11.2</v>
      </c>
      <c r="BQ15" s="204">
        <f t="shared" si="4"/>
        <v>13.87</v>
      </c>
      <c r="BR15" s="92">
        <f t="shared" si="5"/>
        <v>69.349999999999994</v>
      </c>
      <c r="BS15" s="93" t="s">
        <v>23</v>
      </c>
      <c r="BT15" s="94">
        <v>1</v>
      </c>
      <c r="BU15" s="95" t="s">
        <v>20</v>
      </c>
      <c r="BV15" s="96" t="s">
        <v>23</v>
      </c>
      <c r="BW15" s="97" t="s">
        <v>26</v>
      </c>
      <c r="BX15" s="97"/>
      <c r="BY15" s="98"/>
      <c r="BZ15" s="209">
        <f t="shared" si="6"/>
        <v>0.56000000000000005</v>
      </c>
      <c r="CA15" s="100" t="str">
        <f t="shared" si="7"/>
        <v>MATEMATICA</v>
      </c>
      <c r="CB15" s="97">
        <v>13</v>
      </c>
      <c r="CC15" s="97">
        <v>6</v>
      </c>
      <c r="CD15" s="99">
        <f t="shared" si="8"/>
        <v>0.8666666666666667</v>
      </c>
      <c r="CE15" s="99">
        <f t="shared" si="9"/>
        <v>0.6</v>
      </c>
      <c r="CF15" s="44"/>
    </row>
    <row r="16" spans="1:85" ht="15" customHeight="1" x14ac:dyDescent="0.25">
      <c r="A16" s="76">
        <v>8</v>
      </c>
      <c r="B16" s="77">
        <v>61006937</v>
      </c>
      <c r="C16" s="78"/>
      <c r="D16" s="79" t="s">
        <v>212</v>
      </c>
      <c r="E16" s="79">
        <v>61006937</v>
      </c>
      <c r="F16" s="80" t="s">
        <v>90</v>
      </c>
      <c r="G16" s="81" t="s">
        <v>29</v>
      </c>
      <c r="H16" s="82" t="s">
        <v>0</v>
      </c>
      <c r="I16" s="83" t="s">
        <v>18</v>
      </c>
      <c r="J16" s="84">
        <v>0</v>
      </c>
      <c r="K16" s="85">
        <v>0</v>
      </c>
      <c r="L16" s="85">
        <v>1</v>
      </c>
      <c r="M16" s="85">
        <v>1</v>
      </c>
      <c r="N16" s="85">
        <v>1</v>
      </c>
      <c r="O16" s="85">
        <v>0</v>
      </c>
      <c r="P16" s="85">
        <v>1</v>
      </c>
      <c r="Q16" s="85">
        <v>0</v>
      </c>
      <c r="R16" s="85">
        <v>0</v>
      </c>
      <c r="S16" s="85">
        <v>0</v>
      </c>
      <c r="T16" s="85">
        <v>1</v>
      </c>
      <c r="U16" s="85">
        <v>0</v>
      </c>
      <c r="V16" s="85">
        <v>0</v>
      </c>
      <c r="W16" s="85">
        <v>1</v>
      </c>
      <c r="X16" s="85">
        <v>0</v>
      </c>
      <c r="Y16" s="85">
        <v>0</v>
      </c>
      <c r="Z16" s="85">
        <v>1</v>
      </c>
      <c r="AA16" s="85">
        <v>0</v>
      </c>
      <c r="AB16" s="85">
        <v>1</v>
      </c>
      <c r="AC16" s="85">
        <v>1</v>
      </c>
      <c r="AD16" s="85">
        <v>1</v>
      </c>
      <c r="AE16" s="85">
        <v>1</v>
      </c>
      <c r="AF16" s="85">
        <v>1</v>
      </c>
      <c r="AG16" s="85">
        <v>1</v>
      </c>
      <c r="AH16" s="86">
        <v>1</v>
      </c>
      <c r="AI16" s="10"/>
      <c r="AJ16" s="203">
        <f t="shared" si="0"/>
        <v>14</v>
      </c>
      <c r="AK16" s="88"/>
      <c r="AL16" s="202">
        <f t="shared" si="1"/>
        <v>11.2</v>
      </c>
      <c r="AM16" s="10"/>
      <c r="AN16" s="84">
        <v>1</v>
      </c>
      <c r="AO16" s="85">
        <v>1</v>
      </c>
      <c r="AP16" s="85">
        <v>1</v>
      </c>
      <c r="AQ16" s="85">
        <v>0</v>
      </c>
      <c r="AR16" s="85">
        <v>1</v>
      </c>
      <c r="AS16" s="85">
        <v>1</v>
      </c>
      <c r="AT16" s="85">
        <v>0</v>
      </c>
      <c r="AU16" s="85">
        <v>1</v>
      </c>
      <c r="AV16" s="85">
        <v>1</v>
      </c>
      <c r="AW16" s="85">
        <v>1</v>
      </c>
      <c r="AX16" s="85">
        <v>1</v>
      </c>
      <c r="AY16" s="85">
        <v>1</v>
      </c>
      <c r="AZ16" s="85">
        <v>1</v>
      </c>
      <c r="BA16" s="85">
        <v>1</v>
      </c>
      <c r="BB16" s="85">
        <v>1</v>
      </c>
      <c r="BC16" s="85">
        <v>0</v>
      </c>
      <c r="BD16" s="85">
        <v>0</v>
      </c>
      <c r="BE16" s="85">
        <v>0</v>
      </c>
      <c r="BF16" s="85">
        <v>1</v>
      </c>
      <c r="BG16" s="85">
        <v>1</v>
      </c>
      <c r="BH16" s="85">
        <v>1</v>
      </c>
      <c r="BI16" s="85">
        <v>1</v>
      </c>
      <c r="BJ16" s="85">
        <v>0</v>
      </c>
      <c r="BK16" s="85">
        <v>0</v>
      </c>
      <c r="BL16" s="85">
        <v>1</v>
      </c>
      <c r="BM16" s="10"/>
      <c r="BN16" s="203">
        <f t="shared" si="2"/>
        <v>18</v>
      </c>
      <c r="BO16" s="88"/>
      <c r="BP16" s="90">
        <f t="shared" si="3"/>
        <v>14.4</v>
      </c>
      <c r="BQ16" s="204">
        <f t="shared" si="4"/>
        <v>13.33</v>
      </c>
      <c r="BR16" s="92">
        <f t="shared" si="5"/>
        <v>66.649999999999991</v>
      </c>
      <c r="BS16" s="93" t="s">
        <v>23</v>
      </c>
      <c r="BT16" s="94">
        <v>1</v>
      </c>
      <c r="BU16" s="95" t="s">
        <v>18</v>
      </c>
      <c r="BV16" s="96" t="s">
        <v>23</v>
      </c>
      <c r="BW16" s="97" t="s">
        <v>26</v>
      </c>
      <c r="BX16" s="97"/>
      <c r="BY16" s="98"/>
      <c r="BZ16" s="209">
        <f t="shared" si="6"/>
        <v>0.72</v>
      </c>
      <c r="CA16" s="100" t="str">
        <f t="shared" si="7"/>
        <v>REDACCIÓN /</v>
      </c>
      <c r="CB16" s="97">
        <v>11</v>
      </c>
      <c r="CC16" s="97">
        <v>3</v>
      </c>
      <c r="CD16" s="99">
        <f t="shared" si="8"/>
        <v>0.73333333333333328</v>
      </c>
      <c r="CE16" s="99">
        <f t="shared" si="9"/>
        <v>0.3</v>
      </c>
      <c r="CF16" s="44"/>
    </row>
    <row r="17" spans="1:84" ht="15" customHeight="1" x14ac:dyDescent="0.25">
      <c r="A17" s="76">
        <v>9</v>
      </c>
      <c r="B17" s="77">
        <v>70871092</v>
      </c>
      <c r="C17" s="78"/>
      <c r="D17" s="79" t="s">
        <v>224</v>
      </c>
      <c r="E17" s="79">
        <v>70871092</v>
      </c>
      <c r="F17" s="80" t="s">
        <v>341</v>
      </c>
      <c r="G17" s="81" t="s">
        <v>29</v>
      </c>
      <c r="H17" s="82" t="s">
        <v>12</v>
      </c>
      <c r="I17" s="83" t="s">
        <v>15</v>
      </c>
      <c r="J17" s="84">
        <v>1</v>
      </c>
      <c r="K17" s="85">
        <v>1</v>
      </c>
      <c r="L17" s="85">
        <v>0</v>
      </c>
      <c r="M17" s="85">
        <v>1</v>
      </c>
      <c r="N17" s="85">
        <v>1</v>
      </c>
      <c r="O17" s="85">
        <v>0</v>
      </c>
      <c r="P17" s="85">
        <v>1</v>
      </c>
      <c r="Q17" s="85">
        <v>1</v>
      </c>
      <c r="R17" s="85">
        <v>0</v>
      </c>
      <c r="S17" s="85">
        <v>0</v>
      </c>
      <c r="T17" s="85">
        <v>0</v>
      </c>
      <c r="U17" s="85">
        <v>0</v>
      </c>
      <c r="V17" s="85">
        <v>0</v>
      </c>
      <c r="W17" s="85">
        <v>1</v>
      </c>
      <c r="X17" s="85">
        <v>1</v>
      </c>
      <c r="Y17" s="85">
        <v>1</v>
      </c>
      <c r="Z17" s="85">
        <v>1</v>
      </c>
      <c r="AA17" s="85">
        <v>1</v>
      </c>
      <c r="AB17" s="85">
        <v>1</v>
      </c>
      <c r="AC17" s="85">
        <v>1</v>
      </c>
      <c r="AD17" s="85">
        <v>1</v>
      </c>
      <c r="AE17" s="85">
        <v>1</v>
      </c>
      <c r="AF17" s="85">
        <v>0</v>
      </c>
      <c r="AG17" s="85">
        <v>0</v>
      </c>
      <c r="AH17" s="86">
        <v>1</v>
      </c>
      <c r="AI17" s="10"/>
      <c r="AJ17" s="203">
        <f t="shared" si="0"/>
        <v>16</v>
      </c>
      <c r="AK17" s="88"/>
      <c r="AL17" s="202">
        <f t="shared" si="1"/>
        <v>12.8</v>
      </c>
      <c r="AM17" s="10"/>
      <c r="AN17" s="84">
        <v>0</v>
      </c>
      <c r="AO17" s="85">
        <v>0</v>
      </c>
      <c r="AP17" s="85">
        <v>1</v>
      </c>
      <c r="AQ17" s="85">
        <v>1</v>
      </c>
      <c r="AR17" s="85">
        <v>0</v>
      </c>
      <c r="AS17" s="85">
        <v>1</v>
      </c>
      <c r="AT17" s="85">
        <v>0</v>
      </c>
      <c r="AU17" s="85">
        <v>0</v>
      </c>
      <c r="AV17" s="85">
        <v>1</v>
      </c>
      <c r="AW17" s="85">
        <v>0</v>
      </c>
      <c r="AX17" s="85">
        <v>0</v>
      </c>
      <c r="AY17" s="85">
        <v>1</v>
      </c>
      <c r="AZ17" s="85">
        <v>0</v>
      </c>
      <c r="BA17" s="85">
        <v>0</v>
      </c>
      <c r="BB17" s="85">
        <v>0</v>
      </c>
      <c r="BC17" s="85">
        <v>1</v>
      </c>
      <c r="BD17" s="85">
        <v>0</v>
      </c>
      <c r="BE17" s="85">
        <v>0</v>
      </c>
      <c r="BF17" s="85">
        <v>0</v>
      </c>
      <c r="BG17" s="85">
        <v>0</v>
      </c>
      <c r="BH17" s="85">
        <v>0</v>
      </c>
      <c r="BI17" s="85">
        <v>0</v>
      </c>
      <c r="BJ17" s="85">
        <v>0</v>
      </c>
      <c r="BK17" s="85">
        <v>0</v>
      </c>
      <c r="BL17" s="85">
        <v>1</v>
      </c>
      <c r="BM17" s="10"/>
      <c r="BN17" s="203">
        <f t="shared" si="2"/>
        <v>7</v>
      </c>
      <c r="BO17" s="88"/>
      <c r="BP17" s="90">
        <f t="shared" si="3"/>
        <v>5.6</v>
      </c>
      <c r="BQ17" s="204">
        <f t="shared" si="4"/>
        <v>10.4</v>
      </c>
      <c r="BR17" s="92">
        <f t="shared" si="5"/>
        <v>52</v>
      </c>
      <c r="BS17" s="93" t="s">
        <v>24</v>
      </c>
      <c r="BT17" s="94">
        <v>1</v>
      </c>
      <c r="BU17" s="95" t="s">
        <v>15</v>
      </c>
      <c r="BV17" s="96" t="s">
        <v>23</v>
      </c>
      <c r="BW17" s="97" t="s">
        <v>26</v>
      </c>
      <c r="BX17" s="97"/>
      <c r="BY17" s="98"/>
      <c r="BZ17" s="209">
        <f t="shared" si="6"/>
        <v>0.28000000000000003</v>
      </c>
      <c r="CA17" s="100" t="str">
        <f t="shared" si="7"/>
        <v>REDACCIÓN /MATEMATICA</v>
      </c>
      <c r="CB17" s="97">
        <v>12</v>
      </c>
      <c r="CC17" s="97">
        <v>4</v>
      </c>
      <c r="CD17" s="99">
        <f t="shared" si="8"/>
        <v>0.8</v>
      </c>
      <c r="CE17" s="99">
        <f t="shared" si="9"/>
        <v>0.4</v>
      </c>
      <c r="CF17" s="44"/>
    </row>
    <row r="18" spans="1:84" ht="15" customHeight="1" x14ac:dyDescent="0.25">
      <c r="A18" s="76">
        <v>10</v>
      </c>
      <c r="B18" s="77">
        <v>71029337</v>
      </c>
      <c r="C18" s="78"/>
      <c r="D18" s="79" t="s">
        <v>228</v>
      </c>
      <c r="E18" s="79">
        <v>71029337</v>
      </c>
      <c r="F18" s="80" t="s">
        <v>330</v>
      </c>
      <c r="G18" s="81" t="s">
        <v>29</v>
      </c>
      <c r="H18" s="82" t="s">
        <v>12</v>
      </c>
      <c r="I18" s="83" t="s">
        <v>31</v>
      </c>
      <c r="J18" s="84">
        <v>1</v>
      </c>
      <c r="K18" s="85">
        <v>1</v>
      </c>
      <c r="L18" s="85">
        <v>0</v>
      </c>
      <c r="M18" s="85">
        <v>1</v>
      </c>
      <c r="N18" s="85">
        <v>1</v>
      </c>
      <c r="O18" s="85">
        <v>1</v>
      </c>
      <c r="P18" s="85">
        <v>1</v>
      </c>
      <c r="Q18" s="85">
        <v>0</v>
      </c>
      <c r="R18" s="85">
        <v>1</v>
      </c>
      <c r="S18" s="85">
        <v>0</v>
      </c>
      <c r="T18" s="85">
        <v>1</v>
      </c>
      <c r="U18" s="85">
        <v>0</v>
      </c>
      <c r="V18" s="85">
        <v>0</v>
      </c>
      <c r="W18" s="85">
        <v>1</v>
      </c>
      <c r="X18" s="85">
        <v>0</v>
      </c>
      <c r="Y18" s="85">
        <v>0</v>
      </c>
      <c r="Z18" s="85">
        <v>1</v>
      </c>
      <c r="AA18" s="85">
        <v>0</v>
      </c>
      <c r="AB18" s="85">
        <v>1</v>
      </c>
      <c r="AC18" s="85">
        <v>1</v>
      </c>
      <c r="AD18" s="85">
        <v>1</v>
      </c>
      <c r="AE18" s="85">
        <v>1</v>
      </c>
      <c r="AF18" s="85">
        <v>1</v>
      </c>
      <c r="AG18" s="85">
        <v>1</v>
      </c>
      <c r="AH18" s="86">
        <v>1</v>
      </c>
      <c r="AI18" s="10"/>
      <c r="AJ18" s="203">
        <f t="shared" si="0"/>
        <v>17</v>
      </c>
      <c r="AK18" s="88"/>
      <c r="AL18" s="202">
        <f t="shared" si="1"/>
        <v>13.6</v>
      </c>
      <c r="AM18" s="10"/>
      <c r="AN18" s="84">
        <v>1</v>
      </c>
      <c r="AO18" s="85">
        <v>1</v>
      </c>
      <c r="AP18" s="85">
        <v>1</v>
      </c>
      <c r="AQ18" s="85">
        <v>0</v>
      </c>
      <c r="AR18" s="85">
        <v>0</v>
      </c>
      <c r="AS18" s="85">
        <v>0</v>
      </c>
      <c r="AT18" s="85">
        <v>0</v>
      </c>
      <c r="AU18" s="85">
        <v>1</v>
      </c>
      <c r="AV18" s="85">
        <v>1</v>
      </c>
      <c r="AW18" s="85">
        <v>0</v>
      </c>
      <c r="AX18" s="85">
        <v>1</v>
      </c>
      <c r="AY18" s="85">
        <v>1</v>
      </c>
      <c r="AZ18" s="85">
        <v>1</v>
      </c>
      <c r="BA18" s="85">
        <v>1</v>
      </c>
      <c r="BB18" s="85">
        <v>1</v>
      </c>
      <c r="BC18" s="85">
        <v>0</v>
      </c>
      <c r="BD18" s="85">
        <v>0</v>
      </c>
      <c r="BE18" s="85">
        <v>0</v>
      </c>
      <c r="BF18" s="85">
        <v>1</v>
      </c>
      <c r="BG18" s="85">
        <v>1</v>
      </c>
      <c r="BH18" s="85">
        <v>1</v>
      </c>
      <c r="BI18" s="85">
        <v>1</v>
      </c>
      <c r="BJ18" s="85">
        <v>0</v>
      </c>
      <c r="BK18" s="85">
        <v>0</v>
      </c>
      <c r="BL18" s="85">
        <v>1</v>
      </c>
      <c r="BM18" s="10"/>
      <c r="BN18" s="203">
        <f t="shared" si="2"/>
        <v>15</v>
      </c>
      <c r="BO18" s="88"/>
      <c r="BP18" s="90">
        <f t="shared" si="3"/>
        <v>12</v>
      </c>
      <c r="BQ18" s="204">
        <f t="shared" si="4"/>
        <v>13.07</v>
      </c>
      <c r="BR18" s="92">
        <f t="shared" si="5"/>
        <v>65.349999999999994</v>
      </c>
      <c r="BS18" s="93" t="s">
        <v>23</v>
      </c>
      <c r="BT18" s="94">
        <v>1</v>
      </c>
      <c r="BU18" s="95" t="s">
        <v>31</v>
      </c>
      <c r="BV18" s="96" t="s">
        <v>23</v>
      </c>
      <c r="BW18" s="97" t="s">
        <v>26</v>
      </c>
      <c r="BX18" s="97"/>
      <c r="BY18" s="98"/>
      <c r="BZ18" s="209">
        <f t="shared" si="6"/>
        <v>0.6</v>
      </c>
      <c r="CA18" s="100" t="str">
        <f t="shared" si="7"/>
        <v>REDACCIÓN /</v>
      </c>
      <c r="CB18" s="97">
        <v>12</v>
      </c>
      <c r="CC18" s="97">
        <v>5</v>
      </c>
      <c r="CD18" s="99">
        <f t="shared" si="8"/>
        <v>0.8</v>
      </c>
      <c r="CE18" s="99">
        <f t="shared" si="9"/>
        <v>0.5</v>
      </c>
      <c r="CF18" s="44"/>
    </row>
    <row r="19" spans="1:84" ht="15" customHeight="1" x14ac:dyDescent="0.25">
      <c r="A19" s="76">
        <v>11</v>
      </c>
      <c r="B19" s="77">
        <v>71038463</v>
      </c>
      <c r="C19" s="78"/>
      <c r="D19" s="79" t="s">
        <v>128</v>
      </c>
      <c r="E19" s="79">
        <v>71038463</v>
      </c>
      <c r="F19" s="80" t="s">
        <v>362</v>
      </c>
      <c r="G19" s="81" t="s">
        <v>29</v>
      </c>
      <c r="H19" s="82" t="s">
        <v>12</v>
      </c>
      <c r="I19" s="83" t="s">
        <v>31</v>
      </c>
      <c r="J19" s="84">
        <v>1</v>
      </c>
      <c r="K19" s="85">
        <v>1</v>
      </c>
      <c r="L19" s="85">
        <v>1</v>
      </c>
      <c r="M19" s="85">
        <v>1</v>
      </c>
      <c r="N19" s="85">
        <v>1</v>
      </c>
      <c r="O19" s="85">
        <v>1</v>
      </c>
      <c r="P19" s="85">
        <v>0</v>
      </c>
      <c r="Q19" s="85">
        <v>0</v>
      </c>
      <c r="R19" s="85">
        <v>0</v>
      </c>
      <c r="S19" s="85">
        <v>0</v>
      </c>
      <c r="T19" s="85">
        <v>1</v>
      </c>
      <c r="U19" s="85">
        <v>1</v>
      </c>
      <c r="V19" s="85">
        <v>0</v>
      </c>
      <c r="W19" s="85">
        <v>1</v>
      </c>
      <c r="X19" s="85">
        <v>0</v>
      </c>
      <c r="Y19" s="85">
        <v>1</v>
      </c>
      <c r="Z19" s="85">
        <v>1</v>
      </c>
      <c r="AA19" s="85">
        <v>0</v>
      </c>
      <c r="AB19" s="85">
        <v>1</v>
      </c>
      <c r="AC19" s="85">
        <v>1</v>
      </c>
      <c r="AD19" s="85">
        <v>0</v>
      </c>
      <c r="AE19" s="85">
        <v>0</v>
      </c>
      <c r="AF19" s="85">
        <v>1</v>
      </c>
      <c r="AG19" s="85">
        <v>0</v>
      </c>
      <c r="AH19" s="86">
        <v>0</v>
      </c>
      <c r="AI19" s="10"/>
      <c r="AJ19" s="203">
        <f t="shared" si="0"/>
        <v>14</v>
      </c>
      <c r="AK19" s="88"/>
      <c r="AL19" s="202">
        <f t="shared" si="1"/>
        <v>11.2</v>
      </c>
      <c r="AM19" s="10"/>
      <c r="AN19" s="84">
        <v>1</v>
      </c>
      <c r="AO19" s="85">
        <v>1</v>
      </c>
      <c r="AP19" s="85">
        <v>1</v>
      </c>
      <c r="AQ19" s="85">
        <v>1</v>
      </c>
      <c r="AR19" s="85">
        <v>1</v>
      </c>
      <c r="AS19" s="85">
        <v>1</v>
      </c>
      <c r="AT19" s="85">
        <v>0</v>
      </c>
      <c r="AU19" s="85">
        <v>1</v>
      </c>
      <c r="AV19" s="85">
        <v>1</v>
      </c>
      <c r="AW19" s="85">
        <v>1</v>
      </c>
      <c r="AX19" s="85">
        <v>1</v>
      </c>
      <c r="AY19" s="85">
        <v>1</v>
      </c>
      <c r="AZ19" s="85">
        <v>0</v>
      </c>
      <c r="BA19" s="85">
        <v>1</v>
      </c>
      <c r="BB19" s="85">
        <v>0</v>
      </c>
      <c r="BC19" s="85">
        <v>0</v>
      </c>
      <c r="BD19" s="85">
        <v>0</v>
      </c>
      <c r="BE19" s="85">
        <v>0</v>
      </c>
      <c r="BF19" s="85">
        <v>1</v>
      </c>
      <c r="BG19" s="85">
        <v>0</v>
      </c>
      <c r="BH19" s="85">
        <v>1</v>
      </c>
      <c r="BI19" s="85">
        <v>0</v>
      </c>
      <c r="BJ19" s="85">
        <v>0</v>
      </c>
      <c r="BK19" s="85">
        <v>0</v>
      </c>
      <c r="BL19" s="85">
        <v>1</v>
      </c>
      <c r="BM19" s="10"/>
      <c r="BN19" s="203">
        <f t="shared" si="2"/>
        <v>15</v>
      </c>
      <c r="BO19" s="88"/>
      <c r="BP19" s="90">
        <f t="shared" si="3"/>
        <v>12</v>
      </c>
      <c r="BQ19" s="204">
        <f t="shared" si="4"/>
        <v>11.47</v>
      </c>
      <c r="BR19" s="92">
        <f t="shared" si="5"/>
        <v>57.35</v>
      </c>
      <c r="BS19" s="93" t="s">
        <v>24</v>
      </c>
      <c r="BT19" s="94">
        <v>1</v>
      </c>
      <c r="BU19" s="95" t="s">
        <v>31</v>
      </c>
      <c r="BV19" s="96" t="s">
        <v>23</v>
      </c>
      <c r="BW19" s="97" t="s">
        <v>26</v>
      </c>
      <c r="BX19" s="97"/>
      <c r="BY19" s="98"/>
      <c r="BZ19" s="209">
        <f t="shared" si="6"/>
        <v>0.6</v>
      </c>
      <c r="CA19" s="100" t="str">
        <f t="shared" si="7"/>
        <v>REDACCIÓN /</v>
      </c>
      <c r="CB19" s="97">
        <v>10</v>
      </c>
      <c r="CC19" s="97">
        <v>4</v>
      </c>
      <c r="CD19" s="99">
        <f t="shared" si="8"/>
        <v>0.66666666666666663</v>
      </c>
      <c r="CE19" s="99">
        <f t="shared" si="9"/>
        <v>0.4</v>
      </c>
      <c r="CF19" s="44"/>
    </row>
    <row r="20" spans="1:84" ht="15" customHeight="1" x14ac:dyDescent="0.25">
      <c r="A20" s="76">
        <v>12</v>
      </c>
      <c r="B20" s="77">
        <v>71076623</v>
      </c>
      <c r="C20" s="78"/>
      <c r="D20" s="79" t="s">
        <v>126</v>
      </c>
      <c r="E20" s="79">
        <v>71076623</v>
      </c>
      <c r="F20" s="80" t="s">
        <v>81</v>
      </c>
      <c r="G20" s="81" t="s">
        <v>29</v>
      </c>
      <c r="H20" s="82" t="s">
        <v>12</v>
      </c>
      <c r="I20" s="83" t="s">
        <v>15</v>
      </c>
      <c r="J20" s="84">
        <v>1</v>
      </c>
      <c r="K20" s="85">
        <v>0</v>
      </c>
      <c r="L20" s="85">
        <v>0</v>
      </c>
      <c r="M20" s="85">
        <v>1</v>
      </c>
      <c r="N20" s="85">
        <v>1</v>
      </c>
      <c r="O20" s="85">
        <v>1</v>
      </c>
      <c r="P20" s="85">
        <v>1</v>
      </c>
      <c r="Q20" s="85">
        <v>1</v>
      </c>
      <c r="R20" s="85">
        <v>0</v>
      </c>
      <c r="S20" s="85">
        <v>1</v>
      </c>
      <c r="T20" s="85">
        <v>1</v>
      </c>
      <c r="U20" s="85">
        <v>0</v>
      </c>
      <c r="V20" s="85">
        <v>0</v>
      </c>
      <c r="W20" s="85">
        <v>1</v>
      </c>
      <c r="X20" s="85">
        <v>1</v>
      </c>
      <c r="Y20" s="85">
        <v>1</v>
      </c>
      <c r="Z20" s="85">
        <v>0</v>
      </c>
      <c r="AA20" s="85">
        <v>1</v>
      </c>
      <c r="AB20" s="85">
        <v>1</v>
      </c>
      <c r="AC20" s="85">
        <v>1</v>
      </c>
      <c r="AD20" s="85">
        <v>1</v>
      </c>
      <c r="AE20" s="85">
        <v>0</v>
      </c>
      <c r="AF20" s="85">
        <v>1</v>
      </c>
      <c r="AG20" s="85">
        <v>0</v>
      </c>
      <c r="AH20" s="86">
        <v>1</v>
      </c>
      <c r="AI20" s="10"/>
      <c r="AJ20" s="203">
        <f t="shared" si="0"/>
        <v>17</v>
      </c>
      <c r="AK20" s="88"/>
      <c r="AL20" s="202">
        <f t="shared" si="1"/>
        <v>13.6</v>
      </c>
      <c r="AM20" s="10"/>
      <c r="AN20" s="84">
        <v>0</v>
      </c>
      <c r="AO20" s="85">
        <v>1</v>
      </c>
      <c r="AP20" s="85">
        <v>1</v>
      </c>
      <c r="AQ20" s="85">
        <v>0</v>
      </c>
      <c r="AR20" s="85">
        <v>1</v>
      </c>
      <c r="AS20" s="85">
        <v>1</v>
      </c>
      <c r="AT20" s="85">
        <v>0</v>
      </c>
      <c r="AU20" s="85">
        <v>0</v>
      </c>
      <c r="AV20" s="85">
        <v>1</v>
      </c>
      <c r="AW20" s="85">
        <v>1</v>
      </c>
      <c r="AX20" s="85">
        <v>1</v>
      </c>
      <c r="AY20" s="85">
        <v>1</v>
      </c>
      <c r="AZ20" s="85">
        <v>1</v>
      </c>
      <c r="BA20" s="85">
        <v>0</v>
      </c>
      <c r="BB20" s="85">
        <v>1</v>
      </c>
      <c r="BC20" s="85">
        <v>0</v>
      </c>
      <c r="BD20" s="85">
        <v>0</v>
      </c>
      <c r="BE20" s="85">
        <v>1</v>
      </c>
      <c r="BF20" s="85">
        <v>1</v>
      </c>
      <c r="BG20" s="85">
        <v>0</v>
      </c>
      <c r="BH20" s="85">
        <v>0</v>
      </c>
      <c r="BI20" s="85">
        <v>0</v>
      </c>
      <c r="BJ20" s="85">
        <v>0</v>
      </c>
      <c r="BK20" s="85">
        <v>0</v>
      </c>
      <c r="BL20" s="85">
        <v>0</v>
      </c>
      <c r="BM20" s="10"/>
      <c r="BN20" s="203">
        <f t="shared" si="2"/>
        <v>12</v>
      </c>
      <c r="BO20" s="88"/>
      <c r="BP20" s="90">
        <f t="shared" si="3"/>
        <v>9.6</v>
      </c>
      <c r="BQ20" s="204">
        <f t="shared" si="4"/>
        <v>12.27</v>
      </c>
      <c r="BR20" s="92">
        <f t="shared" si="5"/>
        <v>61.349999999999994</v>
      </c>
      <c r="BS20" s="93" t="s">
        <v>23</v>
      </c>
      <c r="BT20" s="94">
        <v>1</v>
      </c>
      <c r="BU20" s="95" t="s">
        <v>15</v>
      </c>
      <c r="BV20" s="96" t="s">
        <v>23</v>
      </c>
      <c r="BW20" s="97" t="s">
        <v>26</v>
      </c>
      <c r="BX20" s="97"/>
      <c r="BY20" s="98"/>
      <c r="BZ20" s="209">
        <f t="shared" si="6"/>
        <v>0.48</v>
      </c>
      <c r="CA20" s="100" t="str">
        <f t="shared" si="7"/>
        <v>MATEMATICA</v>
      </c>
      <c r="CB20" s="97">
        <v>10</v>
      </c>
      <c r="CC20" s="97">
        <v>7</v>
      </c>
      <c r="CD20" s="99">
        <f t="shared" si="8"/>
        <v>0.66666666666666663</v>
      </c>
      <c r="CE20" s="99">
        <f t="shared" si="9"/>
        <v>0.7</v>
      </c>
      <c r="CF20" s="44"/>
    </row>
    <row r="21" spans="1:84" ht="15" customHeight="1" x14ac:dyDescent="0.25">
      <c r="A21" s="76">
        <v>13</v>
      </c>
      <c r="B21" s="77">
        <v>71084583</v>
      </c>
      <c r="C21" s="78"/>
      <c r="D21" s="79" t="s">
        <v>258</v>
      </c>
      <c r="E21" s="79">
        <v>71084583</v>
      </c>
      <c r="F21" s="80" t="s">
        <v>370</v>
      </c>
      <c r="G21" s="81" t="s">
        <v>29</v>
      </c>
      <c r="H21" s="82" t="s">
        <v>0</v>
      </c>
      <c r="I21" s="83" t="s">
        <v>18</v>
      </c>
      <c r="J21" s="84">
        <v>1</v>
      </c>
      <c r="K21" s="85">
        <v>0</v>
      </c>
      <c r="L21" s="85">
        <v>0</v>
      </c>
      <c r="M21" s="85">
        <v>1</v>
      </c>
      <c r="N21" s="85">
        <v>1</v>
      </c>
      <c r="O21" s="85">
        <v>0</v>
      </c>
      <c r="P21" s="85">
        <v>0</v>
      </c>
      <c r="Q21" s="85">
        <v>1</v>
      </c>
      <c r="R21" s="85">
        <v>1</v>
      </c>
      <c r="S21" s="85">
        <v>0</v>
      </c>
      <c r="T21" s="85">
        <v>1</v>
      </c>
      <c r="U21" s="85">
        <v>1</v>
      </c>
      <c r="V21" s="85">
        <v>0</v>
      </c>
      <c r="W21" s="85">
        <v>1</v>
      </c>
      <c r="X21" s="85">
        <v>0</v>
      </c>
      <c r="Y21" s="85">
        <v>0</v>
      </c>
      <c r="Z21" s="85">
        <v>1</v>
      </c>
      <c r="AA21" s="85">
        <v>0</v>
      </c>
      <c r="AB21" s="85">
        <v>1</v>
      </c>
      <c r="AC21" s="85">
        <v>1</v>
      </c>
      <c r="AD21" s="85">
        <v>1</v>
      </c>
      <c r="AE21" s="85">
        <v>0</v>
      </c>
      <c r="AF21" s="85">
        <v>0</v>
      </c>
      <c r="AG21" s="85">
        <v>1</v>
      </c>
      <c r="AH21" s="86">
        <v>0</v>
      </c>
      <c r="AI21" s="10"/>
      <c r="AJ21" s="203">
        <f t="shared" si="0"/>
        <v>13</v>
      </c>
      <c r="AK21" s="88"/>
      <c r="AL21" s="202">
        <f t="shared" si="1"/>
        <v>10.4</v>
      </c>
      <c r="AM21" s="10"/>
      <c r="AN21" s="84">
        <v>1</v>
      </c>
      <c r="AO21" s="85">
        <v>1</v>
      </c>
      <c r="AP21" s="85">
        <v>1</v>
      </c>
      <c r="AQ21" s="85">
        <v>1</v>
      </c>
      <c r="AR21" s="85">
        <v>0</v>
      </c>
      <c r="AS21" s="85">
        <v>0</v>
      </c>
      <c r="AT21" s="85">
        <v>0</v>
      </c>
      <c r="AU21" s="85">
        <v>0</v>
      </c>
      <c r="AV21" s="85">
        <v>0</v>
      </c>
      <c r="AW21" s="85">
        <v>0</v>
      </c>
      <c r="AX21" s="85">
        <v>1</v>
      </c>
      <c r="AY21" s="85">
        <v>1</v>
      </c>
      <c r="AZ21" s="85">
        <v>1</v>
      </c>
      <c r="BA21" s="85">
        <v>1</v>
      </c>
      <c r="BB21" s="85">
        <v>1</v>
      </c>
      <c r="BC21" s="85">
        <v>1</v>
      </c>
      <c r="BD21" s="85">
        <v>0</v>
      </c>
      <c r="BE21" s="85">
        <v>0</v>
      </c>
      <c r="BF21" s="85">
        <v>1</v>
      </c>
      <c r="BG21" s="85">
        <v>0</v>
      </c>
      <c r="BH21" s="85">
        <v>1</v>
      </c>
      <c r="BI21" s="85">
        <v>1</v>
      </c>
      <c r="BJ21" s="85">
        <v>0</v>
      </c>
      <c r="BK21" s="85">
        <v>0</v>
      </c>
      <c r="BL21" s="85">
        <v>0</v>
      </c>
      <c r="BM21" s="10"/>
      <c r="BN21" s="203">
        <f t="shared" si="2"/>
        <v>13</v>
      </c>
      <c r="BO21" s="88"/>
      <c r="BP21" s="90">
        <f t="shared" si="3"/>
        <v>10.4</v>
      </c>
      <c r="BQ21" s="204">
        <f t="shared" si="4"/>
        <v>10.4</v>
      </c>
      <c r="BR21" s="92">
        <f t="shared" si="5"/>
        <v>52</v>
      </c>
      <c r="BS21" s="93" t="s">
        <v>24</v>
      </c>
      <c r="BT21" s="94">
        <v>1</v>
      </c>
      <c r="BU21" s="95" t="s">
        <v>18</v>
      </c>
      <c r="BV21" s="96" t="s">
        <v>23</v>
      </c>
      <c r="BW21" s="97" t="s">
        <v>26</v>
      </c>
      <c r="BX21" s="97"/>
      <c r="BY21" s="98"/>
      <c r="BZ21" s="209">
        <f t="shared" si="6"/>
        <v>0.52</v>
      </c>
      <c r="CA21" s="100" t="str">
        <f t="shared" si="7"/>
        <v>COMPRENSIÓN LECTORA /REDACCIÓN /MATEMATICA</v>
      </c>
      <c r="CB21" s="97">
        <v>8</v>
      </c>
      <c r="CC21" s="97">
        <v>5</v>
      </c>
      <c r="CD21" s="99">
        <f t="shared" si="8"/>
        <v>0.53333333333333333</v>
      </c>
      <c r="CE21" s="99">
        <f t="shared" si="9"/>
        <v>0.5</v>
      </c>
      <c r="CF21" s="44"/>
    </row>
    <row r="22" spans="1:84" ht="15" customHeight="1" x14ac:dyDescent="0.25">
      <c r="A22" s="76">
        <v>14</v>
      </c>
      <c r="B22" s="77">
        <v>71097212</v>
      </c>
      <c r="C22" s="78"/>
      <c r="D22" s="79" t="s">
        <v>160</v>
      </c>
      <c r="E22" s="79">
        <v>71097212</v>
      </c>
      <c r="F22" s="80" t="s">
        <v>380</v>
      </c>
      <c r="G22" s="81" t="s">
        <v>29</v>
      </c>
      <c r="H22" s="82" t="s">
        <v>0</v>
      </c>
      <c r="I22" s="83" t="s">
        <v>18</v>
      </c>
      <c r="J22" s="84">
        <v>1</v>
      </c>
      <c r="K22" s="85">
        <v>1</v>
      </c>
      <c r="L22" s="85">
        <v>1</v>
      </c>
      <c r="M22" s="85">
        <v>1</v>
      </c>
      <c r="N22" s="85">
        <v>1</v>
      </c>
      <c r="O22" s="85">
        <v>1</v>
      </c>
      <c r="P22" s="85">
        <v>1</v>
      </c>
      <c r="Q22" s="85">
        <v>0</v>
      </c>
      <c r="R22" s="85">
        <v>0</v>
      </c>
      <c r="S22" s="85">
        <v>0</v>
      </c>
      <c r="T22" s="85">
        <v>1</v>
      </c>
      <c r="U22" s="85">
        <v>0</v>
      </c>
      <c r="V22" s="85">
        <v>0</v>
      </c>
      <c r="W22" s="85">
        <v>0</v>
      </c>
      <c r="X22" s="85">
        <v>0</v>
      </c>
      <c r="Y22" s="85">
        <v>0</v>
      </c>
      <c r="Z22" s="85">
        <v>1</v>
      </c>
      <c r="AA22" s="85">
        <v>0</v>
      </c>
      <c r="AB22" s="85">
        <v>0</v>
      </c>
      <c r="AC22" s="85">
        <v>1</v>
      </c>
      <c r="AD22" s="85">
        <v>0</v>
      </c>
      <c r="AE22" s="85">
        <v>1</v>
      </c>
      <c r="AF22" s="85">
        <v>1</v>
      </c>
      <c r="AG22" s="85">
        <v>0</v>
      </c>
      <c r="AH22" s="86">
        <v>0</v>
      </c>
      <c r="AI22" s="10"/>
      <c r="AJ22" s="203">
        <f t="shared" si="0"/>
        <v>12</v>
      </c>
      <c r="AK22" s="88"/>
      <c r="AL22" s="202">
        <f t="shared" si="1"/>
        <v>9.6</v>
      </c>
      <c r="AM22" s="10"/>
      <c r="AN22" s="84">
        <v>1</v>
      </c>
      <c r="AO22" s="85">
        <v>1</v>
      </c>
      <c r="AP22" s="85">
        <v>1</v>
      </c>
      <c r="AQ22" s="85">
        <v>0</v>
      </c>
      <c r="AR22" s="85">
        <v>0</v>
      </c>
      <c r="AS22" s="85">
        <v>1</v>
      </c>
      <c r="AT22" s="85">
        <v>1</v>
      </c>
      <c r="AU22" s="85">
        <v>1</v>
      </c>
      <c r="AV22" s="85">
        <v>1</v>
      </c>
      <c r="AW22" s="85">
        <v>1</v>
      </c>
      <c r="AX22" s="85">
        <v>1</v>
      </c>
      <c r="AY22" s="85">
        <v>0</v>
      </c>
      <c r="AZ22" s="85">
        <v>0</v>
      </c>
      <c r="BA22" s="85">
        <v>0</v>
      </c>
      <c r="BB22" s="85">
        <v>0</v>
      </c>
      <c r="BC22" s="85">
        <v>1</v>
      </c>
      <c r="BD22" s="85">
        <v>0</v>
      </c>
      <c r="BE22" s="85">
        <v>0</v>
      </c>
      <c r="BF22" s="85">
        <v>0</v>
      </c>
      <c r="BG22" s="85">
        <v>0</v>
      </c>
      <c r="BH22" s="85">
        <v>0</v>
      </c>
      <c r="BI22" s="85">
        <v>0</v>
      </c>
      <c r="BJ22" s="85">
        <v>0</v>
      </c>
      <c r="BK22" s="85">
        <v>0</v>
      </c>
      <c r="BL22" s="85">
        <v>0</v>
      </c>
      <c r="BM22" s="10"/>
      <c r="BN22" s="203">
        <f t="shared" si="2"/>
        <v>10</v>
      </c>
      <c r="BO22" s="88"/>
      <c r="BP22" s="90">
        <f t="shared" si="3"/>
        <v>8</v>
      </c>
      <c r="BQ22" s="204">
        <f t="shared" si="4"/>
        <v>8.5299999999999994</v>
      </c>
      <c r="BR22" s="92">
        <f t="shared" si="5"/>
        <v>42.65</v>
      </c>
      <c r="BS22" s="93" t="s">
        <v>24</v>
      </c>
      <c r="BT22" s="94">
        <v>1</v>
      </c>
      <c r="BU22" s="95" t="s">
        <v>18</v>
      </c>
      <c r="BV22" s="96" t="s">
        <v>24</v>
      </c>
      <c r="BW22" s="97" t="s">
        <v>26</v>
      </c>
      <c r="BX22" s="97"/>
      <c r="BY22" s="98"/>
      <c r="BZ22" s="209">
        <f t="shared" si="6"/>
        <v>0.4</v>
      </c>
      <c r="CA22" s="100" t="str">
        <f t="shared" si="7"/>
        <v>REDACCIÓN /MATEMATICA</v>
      </c>
      <c r="CB22" s="97">
        <v>9</v>
      </c>
      <c r="CC22" s="97">
        <v>3</v>
      </c>
      <c r="CD22" s="99">
        <f t="shared" si="8"/>
        <v>0.6</v>
      </c>
      <c r="CE22" s="99">
        <f t="shared" si="9"/>
        <v>0.3</v>
      </c>
      <c r="CF22" s="44"/>
    </row>
    <row r="23" spans="1:84" ht="15" customHeight="1" x14ac:dyDescent="0.25">
      <c r="A23" s="76">
        <v>15</v>
      </c>
      <c r="B23" s="77">
        <v>71117779</v>
      </c>
      <c r="C23" s="78"/>
      <c r="D23" s="79" t="s">
        <v>196</v>
      </c>
      <c r="E23" s="79">
        <v>71117779</v>
      </c>
      <c r="F23" s="80" t="s">
        <v>348</v>
      </c>
      <c r="G23" s="81" t="s">
        <v>29</v>
      </c>
      <c r="H23" s="82" t="s">
        <v>0</v>
      </c>
      <c r="I23" s="83" t="s">
        <v>11</v>
      </c>
      <c r="J23" s="84">
        <v>1</v>
      </c>
      <c r="K23" s="85">
        <v>1</v>
      </c>
      <c r="L23" s="85">
        <v>1</v>
      </c>
      <c r="M23" s="85">
        <v>0</v>
      </c>
      <c r="N23" s="85">
        <v>1</v>
      </c>
      <c r="O23" s="85">
        <v>1</v>
      </c>
      <c r="P23" s="85">
        <v>0</v>
      </c>
      <c r="Q23" s="85">
        <v>0</v>
      </c>
      <c r="R23" s="85">
        <v>0</v>
      </c>
      <c r="S23" s="85">
        <v>1</v>
      </c>
      <c r="T23" s="85">
        <v>1</v>
      </c>
      <c r="U23" s="85">
        <v>1</v>
      </c>
      <c r="V23" s="85">
        <v>0</v>
      </c>
      <c r="W23" s="85">
        <v>1</v>
      </c>
      <c r="X23" s="85">
        <v>0</v>
      </c>
      <c r="Y23" s="85">
        <v>1</v>
      </c>
      <c r="Z23" s="85">
        <v>0</v>
      </c>
      <c r="AA23" s="85">
        <v>1</v>
      </c>
      <c r="AB23" s="85">
        <v>1</v>
      </c>
      <c r="AC23" s="85">
        <v>1</v>
      </c>
      <c r="AD23" s="85">
        <v>0</v>
      </c>
      <c r="AE23" s="85">
        <v>1</v>
      </c>
      <c r="AF23" s="85">
        <v>1</v>
      </c>
      <c r="AG23" s="85">
        <v>0</v>
      </c>
      <c r="AH23" s="86">
        <v>1</v>
      </c>
      <c r="AI23" s="10"/>
      <c r="AJ23" s="203">
        <f t="shared" si="0"/>
        <v>16</v>
      </c>
      <c r="AK23" s="88"/>
      <c r="AL23" s="202">
        <f t="shared" si="1"/>
        <v>12.8</v>
      </c>
      <c r="AM23" s="10"/>
      <c r="AN23" s="84">
        <v>1</v>
      </c>
      <c r="AO23" s="85">
        <v>1</v>
      </c>
      <c r="AP23" s="85">
        <v>1</v>
      </c>
      <c r="AQ23" s="85">
        <v>0</v>
      </c>
      <c r="AR23" s="85">
        <v>0</v>
      </c>
      <c r="AS23" s="85">
        <v>1</v>
      </c>
      <c r="AT23" s="85">
        <v>0</v>
      </c>
      <c r="AU23" s="85">
        <v>1</v>
      </c>
      <c r="AV23" s="85">
        <v>1</v>
      </c>
      <c r="AW23" s="85">
        <v>0</v>
      </c>
      <c r="AX23" s="85">
        <v>1</v>
      </c>
      <c r="AY23" s="85">
        <v>1</v>
      </c>
      <c r="AZ23" s="85">
        <v>1</v>
      </c>
      <c r="BA23" s="85">
        <v>0</v>
      </c>
      <c r="BB23" s="85">
        <v>0</v>
      </c>
      <c r="BC23" s="85">
        <v>0</v>
      </c>
      <c r="BD23" s="85">
        <v>0</v>
      </c>
      <c r="BE23" s="85">
        <v>0</v>
      </c>
      <c r="BF23" s="85">
        <v>1</v>
      </c>
      <c r="BG23" s="85">
        <v>1</v>
      </c>
      <c r="BH23" s="85">
        <v>1</v>
      </c>
      <c r="BI23" s="85">
        <v>1</v>
      </c>
      <c r="BJ23" s="85">
        <v>0</v>
      </c>
      <c r="BK23" s="85">
        <v>0</v>
      </c>
      <c r="BL23" s="85">
        <v>1</v>
      </c>
      <c r="BM23" s="10"/>
      <c r="BN23" s="203">
        <f t="shared" si="2"/>
        <v>14</v>
      </c>
      <c r="BO23" s="88"/>
      <c r="BP23" s="90">
        <f t="shared" si="3"/>
        <v>11.2</v>
      </c>
      <c r="BQ23" s="204">
        <f t="shared" si="4"/>
        <v>11.73</v>
      </c>
      <c r="BR23" s="92">
        <f t="shared" si="5"/>
        <v>58.650000000000006</v>
      </c>
      <c r="BS23" s="93" t="s">
        <v>24</v>
      </c>
      <c r="BT23" s="94">
        <v>1</v>
      </c>
      <c r="BU23" s="95" t="s">
        <v>11</v>
      </c>
      <c r="BV23" s="96" t="s">
        <v>23</v>
      </c>
      <c r="BW23" s="97" t="s">
        <v>26</v>
      </c>
      <c r="BX23" s="97"/>
      <c r="BY23" s="98"/>
      <c r="BZ23" s="209">
        <f t="shared" si="6"/>
        <v>0.56000000000000005</v>
      </c>
      <c r="CA23" s="100" t="str">
        <f t="shared" si="7"/>
        <v>REDACCIÓN /MATEMATICA</v>
      </c>
      <c r="CB23" s="97">
        <v>11</v>
      </c>
      <c r="CC23" s="97">
        <v>5</v>
      </c>
      <c r="CD23" s="99">
        <f t="shared" si="8"/>
        <v>0.73333333333333328</v>
      </c>
      <c r="CE23" s="99">
        <f t="shared" si="9"/>
        <v>0.5</v>
      </c>
      <c r="CF23" s="44"/>
    </row>
    <row r="24" spans="1:84" ht="15" customHeight="1" x14ac:dyDescent="0.25">
      <c r="A24" s="76">
        <v>16</v>
      </c>
      <c r="B24" s="77">
        <v>71131379</v>
      </c>
      <c r="C24" s="78"/>
      <c r="D24" s="79" t="s">
        <v>194</v>
      </c>
      <c r="E24" s="79">
        <v>71131379</v>
      </c>
      <c r="F24" s="80" t="s">
        <v>316</v>
      </c>
      <c r="G24" s="81" t="s">
        <v>29</v>
      </c>
      <c r="H24" s="82" t="s">
        <v>12</v>
      </c>
      <c r="I24" s="83" t="s">
        <v>13</v>
      </c>
      <c r="J24" s="84">
        <v>1</v>
      </c>
      <c r="K24" s="85">
        <v>1</v>
      </c>
      <c r="L24" s="85">
        <v>1</v>
      </c>
      <c r="M24" s="85">
        <v>1</v>
      </c>
      <c r="N24" s="85">
        <v>1</v>
      </c>
      <c r="O24" s="85">
        <v>1</v>
      </c>
      <c r="P24" s="85">
        <v>1</v>
      </c>
      <c r="Q24" s="85">
        <v>0</v>
      </c>
      <c r="R24" s="85">
        <v>0</v>
      </c>
      <c r="S24" s="85">
        <v>1</v>
      </c>
      <c r="T24" s="85">
        <v>1</v>
      </c>
      <c r="U24" s="85">
        <v>1</v>
      </c>
      <c r="V24" s="85">
        <v>1</v>
      </c>
      <c r="W24" s="85">
        <v>1</v>
      </c>
      <c r="X24" s="85">
        <v>1</v>
      </c>
      <c r="Y24" s="85">
        <v>1</v>
      </c>
      <c r="Z24" s="85">
        <v>0</v>
      </c>
      <c r="AA24" s="85">
        <v>1</v>
      </c>
      <c r="AB24" s="85">
        <v>1</v>
      </c>
      <c r="AC24" s="85">
        <v>1</v>
      </c>
      <c r="AD24" s="85">
        <v>0</v>
      </c>
      <c r="AE24" s="85">
        <v>0</v>
      </c>
      <c r="AF24" s="85">
        <v>0</v>
      </c>
      <c r="AG24" s="85">
        <v>1</v>
      </c>
      <c r="AH24" s="86">
        <v>0</v>
      </c>
      <c r="AI24" s="10"/>
      <c r="AJ24" s="203">
        <f t="shared" si="0"/>
        <v>18</v>
      </c>
      <c r="AK24" s="88"/>
      <c r="AL24" s="202">
        <f t="shared" si="1"/>
        <v>14.4</v>
      </c>
      <c r="AM24" s="10"/>
      <c r="AN24" s="84">
        <v>0</v>
      </c>
      <c r="AO24" s="85">
        <v>1</v>
      </c>
      <c r="AP24" s="85">
        <v>1</v>
      </c>
      <c r="AQ24" s="85">
        <v>0</v>
      </c>
      <c r="AR24" s="85">
        <v>1</v>
      </c>
      <c r="AS24" s="85">
        <v>1</v>
      </c>
      <c r="AT24" s="85">
        <v>0</v>
      </c>
      <c r="AU24" s="85">
        <v>1</v>
      </c>
      <c r="AV24" s="85">
        <v>1</v>
      </c>
      <c r="AW24" s="85">
        <v>0</v>
      </c>
      <c r="AX24" s="85">
        <v>1</v>
      </c>
      <c r="AY24" s="85">
        <v>0</v>
      </c>
      <c r="AZ24" s="85">
        <v>1</v>
      </c>
      <c r="BA24" s="85">
        <v>0</v>
      </c>
      <c r="BB24" s="85">
        <v>1</v>
      </c>
      <c r="BC24" s="85">
        <v>0</v>
      </c>
      <c r="BD24" s="85">
        <v>0</v>
      </c>
      <c r="BE24" s="85">
        <v>1</v>
      </c>
      <c r="BF24" s="85">
        <v>1</v>
      </c>
      <c r="BG24" s="85">
        <v>0</v>
      </c>
      <c r="BH24" s="85">
        <v>0</v>
      </c>
      <c r="BI24" s="85">
        <v>1</v>
      </c>
      <c r="BJ24" s="85">
        <v>0</v>
      </c>
      <c r="BK24" s="85">
        <v>0</v>
      </c>
      <c r="BL24" s="85">
        <v>0</v>
      </c>
      <c r="BM24" s="10"/>
      <c r="BN24" s="203">
        <f t="shared" si="2"/>
        <v>12</v>
      </c>
      <c r="BO24" s="88"/>
      <c r="BP24" s="90">
        <f t="shared" si="3"/>
        <v>9.6</v>
      </c>
      <c r="BQ24" s="204">
        <f t="shared" si="4"/>
        <v>12.8</v>
      </c>
      <c r="BR24" s="92">
        <f t="shared" si="5"/>
        <v>64</v>
      </c>
      <c r="BS24" s="93" t="s">
        <v>23</v>
      </c>
      <c r="BT24" s="94">
        <v>1</v>
      </c>
      <c r="BU24" s="95" t="s">
        <v>13</v>
      </c>
      <c r="BV24" s="96" t="s">
        <v>23</v>
      </c>
      <c r="BW24" s="97" t="s">
        <v>26</v>
      </c>
      <c r="BX24" s="97"/>
      <c r="BY24" s="98"/>
      <c r="BZ24" s="209">
        <f t="shared" si="6"/>
        <v>0.48</v>
      </c>
      <c r="CA24" s="100" t="str">
        <f t="shared" si="7"/>
        <v>MATEMATICA</v>
      </c>
      <c r="CB24" s="97">
        <v>10</v>
      </c>
      <c r="CC24" s="97">
        <v>8</v>
      </c>
      <c r="CD24" s="99">
        <f t="shared" si="8"/>
        <v>0.66666666666666663</v>
      </c>
      <c r="CE24" s="99">
        <f t="shared" si="9"/>
        <v>0.8</v>
      </c>
      <c r="CF24" s="44"/>
    </row>
    <row r="25" spans="1:84" ht="15" customHeight="1" x14ac:dyDescent="0.25">
      <c r="A25" s="76">
        <v>17</v>
      </c>
      <c r="B25" s="77">
        <v>71313420</v>
      </c>
      <c r="C25" s="78"/>
      <c r="D25" s="79" t="s">
        <v>169</v>
      </c>
      <c r="E25" s="79">
        <v>71313420</v>
      </c>
      <c r="F25" s="80" t="s">
        <v>361</v>
      </c>
      <c r="G25" s="81" t="s">
        <v>29</v>
      </c>
      <c r="H25" s="82" t="s">
        <v>0</v>
      </c>
      <c r="I25" s="83" t="s">
        <v>18</v>
      </c>
      <c r="J25" s="84">
        <v>1</v>
      </c>
      <c r="K25" s="85">
        <v>1</v>
      </c>
      <c r="L25" s="85">
        <v>1</v>
      </c>
      <c r="M25" s="85">
        <v>1</v>
      </c>
      <c r="N25" s="85">
        <v>0</v>
      </c>
      <c r="O25" s="85">
        <v>1</v>
      </c>
      <c r="P25" s="85">
        <v>1</v>
      </c>
      <c r="Q25" s="85">
        <v>0</v>
      </c>
      <c r="R25" s="85">
        <v>0</v>
      </c>
      <c r="S25" s="85">
        <v>1</v>
      </c>
      <c r="T25" s="85">
        <v>1</v>
      </c>
      <c r="U25" s="85">
        <v>1</v>
      </c>
      <c r="V25" s="85">
        <v>0</v>
      </c>
      <c r="W25" s="85">
        <v>1</v>
      </c>
      <c r="X25" s="85">
        <v>1</v>
      </c>
      <c r="Y25" s="85">
        <v>0</v>
      </c>
      <c r="Z25" s="85">
        <v>1</v>
      </c>
      <c r="AA25" s="85">
        <v>0</v>
      </c>
      <c r="AB25" s="85">
        <v>1</v>
      </c>
      <c r="AC25" s="85">
        <v>1</v>
      </c>
      <c r="AD25" s="85">
        <v>1</v>
      </c>
      <c r="AE25" s="85">
        <v>1</v>
      </c>
      <c r="AF25" s="85">
        <v>1</v>
      </c>
      <c r="AG25" s="85">
        <v>0</v>
      </c>
      <c r="AH25" s="86">
        <v>1</v>
      </c>
      <c r="AI25" s="10"/>
      <c r="AJ25" s="203">
        <f t="shared" si="0"/>
        <v>18</v>
      </c>
      <c r="AK25" s="88"/>
      <c r="AL25" s="202">
        <f t="shared" si="1"/>
        <v>14.4</v>
      </c>
      <c r="AM25" s="10"/>
      <c r="AN25" s="84">
        <v>1</v>
      </c>
      <c r="AO25" s="85">
        <v>0</v>
      </c>
      <c r="AP25" s="85">
        <v>1</v>
      </c>
      <c r="AQ25" s="85">
        <v>0</v>
      </c>
      <c r="AR25" s="85">
        <v>0</v>
      </c>
      <c r="AS25" s="85">
        <v>0</v>
      </c>
      <c r="AT25" s="85">
        <v>0</v>
      </c>
      <c r="AU25" s="85">
        <v>0</v>
      </c>
      <c r="AV25" s="85">
        <v>0</v>
      </c>
      <c r="AW25" s="85">
        <v>0</v>
      </c>
      <c r="AX25" s="85">
        <v>0</v>
      </c>
      <c r="AY25" s="85">
        <v>1</v>
      </c>
      <c r="AZ25" s="85">
        <v>0</v>
      </c>
      <c r="BA25" s="85">
        <v>1</v>
      </c>
      <c r="BB25" s="85">
        <v>1</v>
      </c>
      <c r="BC25" s="85">
        <v>0</v>
      </c>
      <c r="BD25" s="85">
        <v>1</v>
      </c>
      <c r="BE25" s="85">
        <v>1</v>
      </c>
      <c r="BF25" s="85">
        <v>1</v>
      </c>
      <c r="BG25" s="85">
        <v>0</v>
      </c>
      <c r="BH25" s="85">
        <v>1</v>
      </c>
      <c r="BI25" s="85">
        <v>1</v>
      </c>
      <c r="BJ25" s="85">
        <v>0</v>
      </c>
      <c r="BK25" s="85">
        <v>1</v>
      </c>
      <c r="BL25" s="85">
        <v>0</v>
      </c>
      <c r="BM25" s="10"/>
      <c r="BN25" s="203">
        <f t="shared" si="2"/>
        <v>11</v>
      </c>
      <c r="BO25" s="88"/>
      <c r="BP25" s="90">
        <f t="shared" si="3"/>
        <v>8.8000000000000007</v>
      </c>
      <c r="BQ25" s="204">
        <f t="shared" si="4"/>
        <v>10.67</v>
      </c>
      <c r="BR25" s="92">
        <f t="shared" si="5"/>
        <v>53.349999999999994</v>
      </c>
      <c r="BS25" s="93" t="s">
        <v>24</v>
      </c>
      <c r="BT25" s="94">
        <v>1</v>
      </c>
      <c r="BU25" s="95" t="s">
        <v>18</v>
      </c>
      <c r="BV25" s="96" t="s">
        <v>23</v>
      </c>
      <c r="BW25" s="97" t="s">
        <v>26</v>
      </c>
      <c r="BX25" s="97"/>
      <c r="BY25" s="98"/>
      <c r="BZ25" s="209">
        <f t="shared" si="6"/>
        <v>0.44</v>
      </c>
      <c r="CA25" s="100" t="str">
        <f t="shared" si="7"/>
        <v>MATEMATICA</v>
      </c>
      <c r="CB25" s="97">
        <v>11</v>
      </c>
      <c r="CC25" s="97">
        <v>7</v>
      </c>
      <c r="CD25" s="99">
        <f t="shared" si="8"/>
        <v>0.73333333333333328</v>
      </c>
      <c r="CE25" s="99">
        <f t="shared" si="9"/>
        <v>0.7</v>
      </c>
      <c r="CF25" s="44"/>
    </row>
    <row r="26" spans="1:84" ht="15" customHeight="1" x14ac:dyDescent="0.25">
      <c r="A26" s="76">
        <v>18</v>
      </c>
      <c r="B26" s="77">
        <v>71313462</v>
      </c>
      <c r="C26" s="78"/>
      <c r="D26" s="79" t="s">
        <v>114</v>
      </c>
      <c r="E26" s="79">
        <v>71313462</v>
      </c>
      <c r="F26" s="80" t="s">
        <v>60</v>
      </c>
      <c r="G26" s="81" t="s">
        <v>29</v>
      </c>
      <c r="H26" s="82" t="s">
        <v>0</v>
      </c>
      <c r="I26" s="83" t="s">
        <v>11</v>
      </c>
      <c r="J26" s="84">
        <v>1</v>
      </c>
      <c r="K26" s="85">
        <v>1</v>
      </c>
      <c r="L26" s="85">
        <v>1</v>
      </c>
      <c r="M26" s="85">
        <v>1</v>
      </c>
      <c r="N26" s="85">
        <v>1</v>
      </c>
      <c r="O26" s="85">
        <v>1</v>
      </c>
      <c r="P26" s="85">
        <v>1</v>
      </c>
      <c r="Q26" s="85">
        <v>0</v>
      </c>
      <c r="R26" s="85">
        <v>0</v>
      </c>
      <c r="S26" s="85">
        <v>0</v>
      </c>
      <c r="T26" s="85">
        <v>1</v>
      </c>
      <c r="U26" s="85">
        <v>0</v>
      </c>
      <c r="V26" s="85">
        <v>0</v>
      </c>
      <c r="W26" s="85">
        <v>1</v>
      </c>
      <c r="X26" s="85">
        <v>1</v>
      </c>
      <c r="Y26" s="85">
        <v>1</v>
      </c>
      <c r="Z26" s="85">
        <v>1</v>
      </c>
      <c r="AA26" s="85">
        <v>0</v>
      </c>
      <c r="AB26" s="85">
        <v>1</v>
      </c>
      <c r="AC26" s="85">
        <v>1</v>
      </c>
      <c r="AD26" s="85">
        <v>1</v>
      </c>
      <c r="AE26" s="85">
        <v>1</v>
      </c>
      <c r="AF26" s="85">
        <v>1</v>
      </c>
      <c r="AG26" s="85">
        <v>1</v>
      </c>
      <c r="AH26" s="86">
        <v>1</v>
      </c>
      <c r="AI26" s="10"/>
      <c r="AJ26" s="203">
        <f t="shared" si="0"/>
        <v>19</v>
      </c>
      <c r="AK26" s="88"/>
      <c r="AL26" s="202">
        <f t="shared" si="1"/>
        <v>15.2</v>
      </c>
      <c r="AM26" s="10"/>
      <c r="AN26" s="84">
        <v>1</v>
      </c>
      <c r="AO26" s="85">
        <v>0</v>
      </c>
      <c r="AP26" s="85">
        <v>1</v>
      </c>
      <c r="AQ26" s="85">
        <v>1</v>
      </c>
      <c r="AR26" s="85">
        <v>0</v>
      </c>
      <c r="AS26" s="85">
        <v>0</v>
      </c>
      <c r="AT26" s="85">
        <v>0</v>
      </c>
      <c r="AU26" s="85">
        <v>0</v>
      </c>
      <c r="AV26" s="85">
        <v>1</v>
      </c>
      <c r="AW26" s="85">
        <v>0</v>
      </c>
      <c r="AX26" s="85">
        <v>0</v>
      </c>
      <c r="AY26" s="85">
        <v>1</v>
      </c>
      <c r="AZ26" s="85">
        <v>0</v>
      </c>
      <c r="BA26" s="85">
        <v>1</v>
      </c>
      <c r="BB26" s="85">
        <v>1</v>
      </c>
      <c r="BC26" s="85">
        <v>0</v>
      </c>
      <c r="BD26" s="85">
        <v>0</v>
      </c>
      <c r="BE26" s="85">
        <v>0</v>
      </c>
      <c r="BF26" s="85">
        <v>1</v>
      </c>
      <c r="BG26" s="85">
        <v>0</v>
      </c>
      <c r="BH26" s="85">
        <v>1</v>
      </c>
      <c r="BI26" s="85">
        <v>1</v>
      </c>
      <c r="BJ26" s="85">
        <v>0</v>
      </c>
      <c r="BK26" s="85">
        <v>0</v>
      </c>
      <c r="BL26" s="85">
        <v>1</v>
      </c>
      <c r="BM26" s="10"/>
      <c r="BN26" s="203">
        <f t="shared" si="2"/>
        <v>11</v>
      </c>
      <c r="BO26" s="88"/>
      <c r="BP26" s="90">
        <f t="shared" si="3"/>
        <v>8.8000000000000007</v>
      </c>
      <c r="BQ26" s="204">
        <f t="shared" si="4"/>
        <v>10.93</v>
      </c>
      <c r="BR26" s="92">
        <f t="shared" si="5"/>
        <v>54.65</v>
      </c>
      <c r="BS26" s="93" t="s">
        <v>24</v>
      </c>
      <c r="BT26" s="94">
        <v>1</v>
      </c>
      <c r="BU26" s="95" t="s">
        <v>11</v>
      </c>
      <c r="BV26" s="96" t="s">
        <v>23</v>
      </c>
      <c r="BW26" s="97" t="s">
        <v>26</v>
      </c>
      <c r="BX26" s="97"/>
      <c r="BY26" s="98"/>
      <c r="BZ26" s="209">
        <f t="shared" si="6"/>
        <v>0.44</v>
      </c>
      <c r="CA26" s="100" t="str">
        <f t="shared" si="7"/>
        <v>REDACCIÓN /MATEMATICA</v>
      </c>
      <c r="CB26" s="97">
        <v>14</v>
      </c>
      <c r="CC26" s="97">
        <v>5</v>
      </c>
      <c r="CD26" s="99">
        <f t="shared" si="8"/>
        <v>0.93333333333333335</v>
      </c>
      <c r="CE26" s="99">
        <f t="shared" si="9"/>
        <v>0.5</v>
      </c>
      <c r="CF26" s="44"/>
    </row>
    <row r="27" spans="1:84" ht="15" customHeight="1" x14ac:dyDescent="0.25">
      <c r="A27" s="76">
        <v>19</v>
      </c>
      <c r="B27" s="77">
        <v>71436029</v>
      </c>
      <c r="C27" s="78"/>
      <c r="D27" s="79" t="s">
        <v>100</v>
      </c>
      <c r="E27" s="79">
        <v>71436029</v>
      </c>
      <c r="F27" s="80" t="s">
        <v>328</v>
      </c>
      <c r="G27" s="81" t="s">
        <v>29</v>
      </c>
      <c r="H27" s="82" t="s">
        <v>0</v>
      </c>
      <c r="I27" s="83" t="s">
        <v>18</v>
      </c>
      <c r="J27" s="84">
        <v>1</v>
      </c>
      <c r="K27" s="85">
        <v>1</v>
      </c>
      <c r="L27" s="85">
        <v>1</v>
      </c>
      <c r="M27" s="85">
        <v>1</v>
      </c>
      <c r="N27" s="85">
        <v>1</v>
      </c>
      <c r="O27" s="85">
        <v>0</v>
      </c>
      <c r="P27" s="85">
        <v>0</v>
      </c>
      <c r="Q27" s="85">
        <v>1</v>
      </c>
      <c r="R27" s="85">
        <v>1</v>
      </c>
      <c r="S27" s="85">
        <v>1</v>
      </c>
      <c r="T27" s="85">
        <v>1</v>
      </c>
      <c r="U27" s="85">
        <v>1</v>
      </c>
      <c r="V27" s="85">
        <v>1</v>
      </c>
      <c r="W27" s="85">
        <v>1</v>
      </c>
      <c r="X27" s="85">
        <v>1</v>
      </c>
      <c r="Y27" s="85">
        <v>1</v>
      </c>
      <c r="Z27" s="85">
        <v>1</v>
      </c>
      <c r="AA27" s="85">
        <v>0</v>
      </c>
      <c r="AB27" s="85">
        <v>1</v>
      </c>
      <c r="AC27" s="85">
        <v>1</v>
      </c>
      <c r="AD27" s="85">
        <v>1</v>
      </c>
      <c r="AE27" s="85">
        <v>1</v>
      </c>
      <c r="AF27" s="85">
        <v>0</v>
      </c>
      <c r="AG27" s="85">
        <v>1</v>
      </c>
      <c r="AH27" s="86">
        <v>0</v>
      </c>
      <c r="AI27" s="10"/>
      <c r="AJ27" s="203">
        <f t="shared" si="0"/>
        <v>20</v>
      </c>
      <c r="AK27" s="88"/>
      <c r="AL27" s="202">
        <f t="shared" si="1"/>
        <v>16</v>
      </c>
      <c r="AM27" s="10"/>
      <c r="AN27" s="84">
        <v>1</v>
      </c>
      <c r="AO27" s="85">
        <v>1</v>
      </c>
      <c r="AP27" s="85">
        <v>1</v>
      </c>
      <c r="AQ27" s="85">
        <v>0</v>
      </c>
      <c r="AR27" s="85">
        <v>1</v>
      </c>
      <c r="AS27" s="85">
        <v>1</v>
      </c>
      <c r="AT27" s="85">
        <v>0</v>
      </c>
      <c r="AU27" s="85">
        <v>0</v>
      </c>
      <c r="AV27" s="85">
        <v>1</v>
      </c>
      <c r="AW27" s="85">
        <v>1</v>
      </c>
      <c r="AX27" s="85">
        <v>1</v>
      </c>
      <c r="AY27" s="85">
        <v>1</v>
      </c>
      <c r="AZ27" s="85">
        <v>1</v>
      </c>
      <c r="BA27" s="85">
        <v>0</v>
      </c>
      <c r="BB27" s="85">
        <v>1</v>
      </c>
      <c r="BC27" s="85">
        <v>0</v>
      </c>
      <c r="BD27" s="85">
        <v>0</v>
      </c>
      <c r="BE27" s="85">
        <v>0</v>
      </c>
      <c r="BF27" s="85">
        <v>1</v>
      </c>
      <c r="BG27" s="85">
        <v>1</v>
      </c>
      <c r="BH27" s="85">
        <v>1</v>
      </c>
      <c r="BI27" s="85">
        <v>1</v>
      </c>
      <c r="BJ27" s="85">
        <v>0</v>
      </c>
      <c r="BK27" s="85">
        <v>0</v>
      </c>
      <c r="BL27" s="85">
        <v>1</v>
      </c>
      <c r="BM27" s="10"/>
      <c r="BN27" s="203">
        <f t="shared" si="2"/>
        <v>16</v>
      </c>
      <c r="BO27" s="88"/>
      <c r="BP27" s="90">
        <f t="shared" si="3"/>
        <v>12.8</v>
      </c>
      <c r="BQ27" s="204">
        <f t="shared" si="4"/>
        <v>13.87</v>
      </c>
      <c r="BR27" s="92">
        <f t="shared" si="5"/>
        <v>69.349999999999994</v>
      </c>
      <c r="BS27" s="93" t="s">
        <v>23</v>
      </c>
      <c r="BT27" s="94">
        <v>1</v>
      </c>
      <c r="BU27" s="95" t="s">
        <v>18</v>
      </c>
      <c r="BV27" s="96" t="s">
        <v>23</v>
      </c>
      <c r="BW27" s="97" t="s">
        <v>27</v>
      </c>
      <c r="BX27" s="97"/>
      <c r="BY27" s="98"/>
      <c r="BZ27" s="209">
        <f t="shared" si="6"/>
        <v>0.64</v>
      </c>
      <c r="CA27" s="100" t="str">
        <f t="shared" si="7"/>
        <v/>
      </c>
      <c r="CB27" s="97">
        <v>12</v>
      </c>
      <c r="CC27" s="97">
        <v>8</v>
      </c>
      <c r="CD27" s="99">
        <f t="shared" si="8"/>
        <v>0.8</v>
      </c>
      <c r="CE27" s="99">
        <f t="shared" si="9"/>
        <v>0.8</v>
      </c>
      <c r="CF27" s="44"/>
    </row>
  </sheetData>
  <sheetProtection autoFilter="0"/>
  <autoFilter ref="A8:CE27" xr:uid="{00000000-0009-0000-0000-000005000000}"/>
  <mergeCells count="3">
    <mergeCell ref="AJ2:AL5"/>
    <mergeCell ref="BN2:BP5"/>
    <mergeCell ref="BU2:BU3"/>
  </mergeCells>
  <conditionalFormatting sqref="AN9:BL27 J9:AH27">
    <cfRule type="expression" dxfId="12" priority="21">
      <formula>AND(J9&lt;&gt;"",J9=0)</formula>
    </cfRule>
    <cfRule type="expression" dxfId="11" priority="496">
      <formula>J9=""</formula>
    </cfRule>
    <cfRule type="expression" dxfId="10" priority="537">
      <formula>AND(J9&lt;&gt;"",OR(J9=J$2,J9=J$3,J9=J$4,J9=J$5))</formula>
    </cfRule>
    <cfRule type="expression" dxfId="9" priority="538">
      <formula>AND(J9&lt;&gt;"",OR(J9&lt;&gt;J$2,J9&lt;&gt;J$3,J9&lt;&gt;J$4,J9&lt;&gt;J$5))</formula>
    </cfRule>
  </conditionalFormatting>
  <conditionalFormatting sqref="AL9:AL27">
    <cfRule type="expression" dxfId="8" priority="382">
      <formula>AL9=""</formula>
    </cfRule>
    <cfRule type="expression" dxfId="7" priority="383">
      <formula>AL9&lt;&gt;""</formula>
    </cfRule>
  </conditionalFormatting>
  <conditionalFormatting sqref="AJ9:AJ27 BN9:BN27">
    <cfRule type="expression" dxfId="6" priority="381">
      <formula>AJ9=""</formula>
    </cfRule>
    <cfRule type="expression" dxfId="5" priority="384">
      <formula>AJ9&lt;&gt;""</formula>
    </cfRule>
  </conditionalFormatting>
  <conditionalFormatting sqref="AK9:AK27 BO9:BO27">
    <cfRule type="expression" dxfId="4" priority="379">
      <formula>AK9=""</formula>
    </cfRule>
    <cfRule type="expression" dxfId="3" priority="380">
      <formula>AK9&lt;&gt;""</formula>
    </cfRule>
  </conditionalFormatting>
  <conditionalFormatting sqref="C9:I27">
    <cfRule type="expression" dxfId="2" priority="1532">
      <formula>OR(#REF!="IMCOMPLETA", $BX9="NO APTO")</formula>
    </cfRule>
    <cfRule type="expression" dxfId="1" priority="1533">
      <formula>$BU9="NO INGRESANTE"</formula>
    </cfRule>
    <cfRule type="expression" dxfId="0" priority="1534">
      <formula>$BU9="INGRESANTE"</formula>
    </cfRule>
  </conditionalFormatting>
  <conditionalFormatting sqref="BZ9:BZ27">
    <cfRule type="colorScale" priority="1584">
      <colorScale>
        <cfvo type="percent" val="0"/>
        <cfvo type="percent" val="40"/>
        <cfvo type="percent" val="100"/>
        <color rgb="FFF8696B"/>
        <color rgb="FFFFEB84"/>
        <color rgb="FF63BE7B"/>
      </colorScale>
    </cfRule>
  </conditionalFormatting>
  <conditionalFormatting sqref="CD9:CE27">
    <cfRule type="colorScale" priority="1587">
      <colorScale>
        <cfvo type="percent" val="0"/>
        <cfvo type="percent" val="40"/>
        <cfvo type="percent" val="100"/>
        <color rgb="FFF8696B"/>
        <color rgb="FFFFEB84"/>
        <color rgb="FF63BE7B"/>
      </colorScale>
    </cfRule>
  </conditionalFormatting>
  <conditionalFormatting sqref="CA9:CA27">
    <cfRule type="colorScale" priority="1588">
      <colorScale>
        <cfvo type="percent" val="0"/>
        <cfvo type="percent" val="40"/>
        <cfvo type="percent" val="10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scale="10" fitToHeight="0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</vt:i4>
      </vt:variant>
    </vt:vector>
  </HeadingPairs>
  <TitlesOfParts>
    <vt:vector size="13" baseType="lpstr">
      <vt:lpstr>MenuRESULTADOS</vt:lpstr>
      <vt:lpstr>RESULTADOS</vt:lpstr>
      <vt:lpstr>MenuRepEvaluación</vt:lpstr>
      <vt:lpstr>RepEvaluación</vt:lpstr>
      <vt:lpstr>ManuConteoEval</vt:lpstr>
      <vt:lpstr>Conteo-Evaluación</vt:lpstr>
      <vt:lpstr>CONSOLIDADOEVA</vt:lpstr>
      <vt:lpstr>ENTREVISTA</vt:lpstr>
      <vt:lpstr>CONOCIMIENTO</vt:lpstr>
      <vt:lpstr>'Conteo-Evaluación'!Área_de_impresión</vt:lpstr>
      <vt:lpstr>RepEvaluación!Área_de_impresión</vt:lpstr>
      <vt:lpstr>RESULTADOS!Área_de_impresión</vt:lpstr>
      <vt:lpstr>RESULTADOS!Títulos_a_imprimir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APAREDES</dc:creator>
  <cp:lastModifiedBy>Usuario</cp:lastModifiedBy>
  <cp:lastPrinted>2020-06-22T11:55:01Z</cp:lastPrinted>
  <dcterms:created xsi:type="dcterms:W3CDTF">2015-03-07T09:44:24Z</dcterms:created>
  <dcterms:modified xsi:type="dcterms:W3CDTF">2020-06-23T17:37:59Z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dbc487ad-d6eb-4265-82d4-a3e2a2403545</vt:lpwstr>
  </property>
  <property fmtid="{D5CDD505-2E9C-101B-9397-08002B2CF9AE}" pid="3" name="TBCO_ScreenResolution">
    <vt:lpwstr>96 96 1920 1080</vt:lpwstr>
  </property>
</Properties>
</file>